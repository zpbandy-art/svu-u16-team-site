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Games" sheetId="2" state="visible" r:id="rId2"/>
    <sheet xmlns:r="http://schemas.openxmlformats.org/officeDocument/2006/relationships" name="Player Stats" sheetId="3" state="visible" r:id="rId3"/>
    <sheet xmlns:r="http://schemas.openxmlformats.org/officeDocument/2006/relationships" name="Season Total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52B54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057A46"/>
      <sz val="11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152B54"/>
        <bgColor rgb="FF333333"/>
      </patternFill>
    </fill>
    <fill>
      <patternFill patternType="solid">
        <fgColor rgb="FFE5F3EC"/>
        <bgColor rgb="FFF2F2F2"/>
      </patternFill>
    </fill>
    <fill>
      <patternFill patternType="solid">
        <fgColor rgb="FFFFF7CC"/>
        <bgColor rgb="FFF2F2F2"/>
      </patternFill>
    </fill>
    <fill>
      <patternFill patternType="solid">
        <fgColor rgb="FFF2F2F2"/>
        <bgColor rgb="FFE5F3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left" vertical="bottom"/>
    </xf>
    <xf numFmtId="0" fontId="0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bottom"/>
    </xf>
    <xf numFmtId="9" fontId="6" fillId="0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left" vertical="bottom"/>
    </xf>
    <xf numFmtId="9" fontId="7" fillId="3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left" vertical="bottom"/>
    </xf>
    <xf numFmtId="0" fontId="0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bottom"/>
    </xf>
    <xf numFmtId="9" fontId="6" fillId="0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left" vertical="bottom"/>
    </xf>
    <xf numFmtId="9" fontId="7" fillId="3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7A46"/>
      <rgbColor rgb="FFC0C0C0"/>
      <rgbColor rgb="FF808080"/>
      <rgbColor rgb="FF9999FF"/>
      <rgbColor rgb="FF993366"/>
      <rgbColor rgb="FFFFF7CC"/>
      <rgbColor rgb="FFE5F3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52B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28" customWidth="1" style="21" min="2" max="2"/>
    <col width="24" customWidth="1" style="21" min="3" max="3"/>
  </cols>
  <sheetData>
    <row r="1" ht="17.25" customHeight="1" s="22">
      <c r="A1" s="23" t="inlineStr">
        <is>
          <t>Shenandoah Valley United — Roster</t>
        </is>
      </c>
    </row>
    <row r="3" ht="15" customHeight="1" s="22">
      <c r="A3" s="24" t="inlineStr">
        <is>
          <t>#</t>
        </is>
      </c>
      <c r="B3" s="24" t="inlineStr">
        <is>
          <t>Player</t>
        </is>
      </c>
      <c r="C3" s="24" t="inlineStr">
        <is>
          <t>Notes</t>
        </is>
      </c>
    </row>
    <row r="4" ht="15" customHeight="1" s="22">
      <c r="A4" s="25" t="n">
        <v>1</v>
      </c>
      <c r="B4" s="26" t="inlineStr">
        <is>
          <t>Evan Arenas</t>
        </is>
      </c>
      <c r="C4" s="26" t="n"/>
    </row>
    <row r="5" ht="15" customHeight="1" s="22">
      <c r="A5" s="25" t="n">
        <v>4</v>
      </c>
      <c r="B5" s="26" t="inlineStr">
        <is>
          <t>Josue Borja-Serrato</t>
        </is>
      </c>
      <c r="C5" s="26" t="n"/>
    </row>
    <row r="6" ht="15" customHeight="1" s="22">
      <c r="A6" s="25" t="n">
        <v>5</v>
      </c>
      <c r="B6" s="26" t="inlineStr">
        <is>
          <t>Fionn Criscione</t>
        </is>
      </c>
      <c r="C6" s="26" t="n"/>
    </row>
    <row r="7" ht="15" customHeight="1" s="22">
      <c r="A7" s="25" t="n">
        <v>7</v>
      </c>
      <c r="B7" s="26" t="inlineStr">
        <is>
          <t>Caleb Eccles</t>
        </is>
      </c>
      <c r="C7" s="26" t="n"/>
    </row>
    <row r="8" ht="15" customHeight="1" s="22">
      <c r="A8" s="25" t="n">
        <v>9</v>
      </c>
      <c r="B8" s="26" t="inlineStr">
        <is>
          <t>Matthew Bing</t>
        </is>
      </c>
      <c r="C8" s="26" t="n"/>
    </row>
    <row r="9" ht="15" customHeight="1" s="22">
      <c r="A9" s="25" t="n">
        <v>11</v>
      </c>
      <c r="B9" s="26" t="inlineStr">
        <is>
          <t>Jefferson Gonzalez-Nolasco</t>
        </is>
      </c>
      <c r="C9" s="26" t="n"/>
    </row>
    <row r="10" ht="15" customHeight="1" s="22">
      <c r="A10" s="25" t="n">
        <v>13</v>
      </c>
      <c r="B10" s="26" t="inlineStr">
        <is>
          <t>Weston Hash</t>
        </is>
      </c>
      <c r="C10" s="26" t="n"/>
    </row>
    <row r="11" ht="15" customHeight="1" s="22">
      <c r="A11" s="27" t="n">
        <v>15</v>
      </c>
      <c r="B11" s="28" t="inlineStr">
        <is>
          <t>Zaden Bandy</t>
        </is>
      </c>
      <c r="C11" s="28" t="n"/>
    </row>
    <row r="12" ht="15" customHeight="1" s="22">
      <c r="A12" s="25" t="n">
        <v>17</v>
      </c>
      <c r="B12" s="26" t="inlineStr">
        <is>
          <t>Benjamin Kratz</t>
        </is>
      </c>
      <c r="C12" s="26" t="n"/>
    </row>
    <row r="13" ht="15" customHeight="1" s="22">
      <c r="A13" s="25" t="n">
        <v>19</v>
      </c>
      <c r="B13" s="26" t="inlineStr">
        <is>
          <t>Vinny Machan</t>
        </is>
      </c>
      <c r="C13" s="26" t="n"/>
    </row>
    <row r="14" ht="15" customHeight="1" s="22">
      <c r="A14" s="25" t="n">
        <v>21</v>
      </c>
      <c r="B14" s="26" t="inlineStr">
        <is>
          <t>Jackson Mills</t>
        </is>
      </c>
      <c r="C14" s="26" t="n"/>
    </row>
    <row r="15" ht="15" customHeight="1" s="22">
      <c r="A15" s="25" t="n">
        <v>25</v>
      </c>
      <c r="B15" s="26" t="inlineStr">
        <is>
          <t>Landon Shaver</t>
        </is>
      </c>
      <c r="C15" s="26" t="n"/>
    </row>
    <row r="16" ht="15" customHeight="1" s="22">
      <c r="A16" s="25" t="n">
        <v>27</v>
      </c>
      <c r="B16" s="26" t="inlineStr">
        <is>
          <t>Yousaf Hussain Khil</t>
        </is>
      </c>
      <c r="C16" s="26" t="n"/>
    </row>
    <row r="17" ht="15" customHeight="1" s="22">
      <c r="A17" s="25" t="n">
        <v>29</v>
      </c>
      <c r="B17" s="26" t="inlineStr">
        <is>
          <t>Nilson Martinez-Lopez</t>
        </is>
      </c>
      <c r="C17" s="26" t="n"/>
    </row>
    <row r="18" ht="15" customHeight="1" s="22">
      <c r="A18" s="25" t="n">
        <v>31</v>
      </c>
      <c r="B18" s="26" t="inlineStr">
        <is>
          <t>Joseph Benitez Maldonado</t>
        </is>
      </c>
      <c r="C18" s="26" t="n"/>
    </row>
    <row r="19" ht="15" customHeight="1" s="22">
      <c r="A19" s="25" t="n">
        <v>33</v>
      </c>
      <c r="B19" s="26" t="inlineStr">
        <is>
          <t>Evan Mercer</t>
        </is>
      </c>
      <c r="C19" s="26" t="n"/>
    </row>
    <row r="20" ht="15" customHeight="1" s="22">
      <c r="A20" s="25" t="n">
        <v>35</v>
      </c>
      <c r="B20" s="26" t="inlineStr">
        <is>
          <t>Brayan Espinoza Canales</t>
        </is>
      </c>
      <c r="C20" s="26" t="n"/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1" min="1" max="1"/>
    <col width="12" customWidth="1" style="21" min="2" max="2"/>
    <col width="26" customWidth="1" style="21" min="3" max="3"/>
    <col width="12" customWidth="1" style="21" min="4" max="4"/>
    <col width="13" customWidth="1" style="21" min="5" max="6"/>
    <col width="9" customWidth="1" style="21" min="7" max="7"/>
    <col width="24" customWidth="1" style="21" min="8" max="8"/>
    <col width="11" customWidth="1" style="21" min="9" max="9"/>
    <col width="34" customWidth="1" style="21" min="10" max="10"/>
  </cols>
  <sheetData>
    <row r="1" ht="17.25" customHeight="1" s="22">
      <c r="A1" s="23" t="inlineStr">
        <is>
          <t>Game Log</t>
        </is>
      </c>
    </row>
    <row r="2" ht="15" customHeight="1" s="22">
      <c r="A2" s="29" t="inlineStr">
        <is>
          <t>Fill in Game #, Date, Opponent, Home/Away and Competition for each game. SVU Score and Opp Score calculate on their own from that game's rows on the Player Stats tab (goals, and the goalie's Goals Allowed) — don't type into those two columns.</t>
        </is>
      </c>
    </row>
    <row r="4" ht="15" customHeight="1" s="22">
      <c r="A4" s="24" t="inlineStr">
        <is>
          <t>Game #</t>
        </is>
      </c>
      <c r="B4" s="24" t="inlineStr">
        <is>
          <t>Date</t>
        </is>
      </c>
      <c r="C4" s="24" t="inlineStr">
        <is>
          <t>Opponent</t>
        </is>
      </c>
      <c r="D4" s="24" t="inlineStr">
        <is>
          <t>Home/Away</t>
        </is>
      </c>
      <c r="E4" s="24" t="inlineStr">
        <is>
          <t>SVU Score</t>
        </is>
      </c>
      <c r="F4" s="24" t="inlineStr">
        <is>
          <t>Opp Score</t>
        </is>
      </c>
      <c r="G4" s="24" t="inlineStr">
        <is>
          <t>Result</t>
        </is>
      </c>
      <c r="H4" s="24" t="inlineStr">
        <is>
          <t>Competition</t>
        </is>
      </c>
      <c r="I4" s="24" t="inlineStr">
        <is>
          <t>Time</t>
        </is>
      </c>
      <c r="J4" s="24" t="inlineStr">
        <is>
          <t>Location</t>
        </is>
      </c>
    </row>
    <row r="5" ht="15" customHeight="1" s="22">
      <c r="A5" s="30" t="n">
        <v>1</v>
      </c>
      <c r="B5" s="30" t="inlineStr">
        <is>
          <t>9/5/2026</t>
        </is>
      </c>
      <c r="C5" s="30" t="inlineStr">
        <is>
          <t>Skyline Elite U15</t>
        </is>
      </c>
      <c r="D5" s="30" t="n"/>
      <c r="E5" s="30" t="n">
        <v>0</v>
      </c>
      <c r="F5" s="30" t="n">
        <v>0</v>
      </c>
      <c r="G5" s="31">
        <f>IF(OR(E5="",F5=""),"",IF(E5&gt;F5,"W",IF(E5&lt;F5,"L","T")))</f>
        <v/>
      </c>
      <c r="H5" s="30" t="inlineStr">
        <is>
          <t>Blue Ridge Cup Tournament — rainout, called at 0-0</t>
        </is>
      </c>
      <c r="I5" s="30" t="inlineStr">
        <is>
          <t>1:00 PM</t>
        </is>
      </c>
      <c r="J5" s="30" t="inlineStr">
        <is>
          <t>Ukrop Park - Richmond, VA</t>
        </is>
      </c>
    </row>
    <row r="6" ht="15" customHeight="1" s="22">
      <c r="A6" s="30" t="n">
        <v>2</v>
      </c>
      <c r="B6" s="30" t="inlineStr">
        <is>
          <t>9/5/2026</t>
        </is>
      </c>
      <c r="C6" s="30" t="inlineStr">
        <is>
          <t>Virginia Valor</t>
        </is>
      </c>
      <c r="D6" s="30" t="n"/>
      <c r="E6" s="31">
        <f>IF($A6="","",IF(COUNTIF('Player Stats'!$A$5:$A$400,$A6)=0,"",SUMIFS('Player Stats'!$F$5:$F$400,'Player Stats'!$A$5:$A$400,$A6)))</f>
        <v/>
      </c>
      <c r="F6" s="31">
        <f>IF($A6="","",IF(COUNTIF('Player Stats'!$A$5:$A$400,$A6)=0,"",SUMIFS('Player Stats'!$K$5:$K$400,'Player Stats'!$A$5:$A$400,$A6)))</f>
        <v/>
      </c>
      <c r="G6" s="31">
        <f>IF(OR(E6="",F6=""),"",IF(E6&gt;F6,"W",IF(E6&lt;F6,"L","T")))</f>
        <v/>
      </c>
      <c r="H6" s="30" t="inlineStr">
        <is>
          <t>Blue Ridge Cup Tournament</t>
        </is>
      </c>
      <c r="I6" s="30" t="inlineStr">
        <is>
          <t>5:00 PM</t>
        </is>
      </c>
      <c r="J6" s="30" t="inlineStr">
        <is>
          <t>Ukrop Park - Richmond, VA</t>
        </is>
      </c>
    </row>
    <row r="7" ht="15" customHeight="1" s="22">
      <c r="A7" s="30" t="n">
        <v>3</v>
      </c>
      <c r="B7" s="30" t="inlineStr">
        <is>
          <t>9/6/2026</t>
        </is>
      </c>
      <c r="C7" s="30" t="inlineStr">
        <is>
          <t>SOCA Elite U16</t>
        </is>
      </c>
      <c r="D7" s="30" t="n"/>
      <c r="E7" s="31">
        <f>IF($A7="","",IF(COUNTIF('Player Stats'!$A$5:$A$400,$A7)=0,"",SUMIFS('Player Stats'!$F$5:$F$400,'Player Stats'!$A$5:$A$400,$A7)))</f>
        <v/>
      </c>
      <c r="F7" s="31">
        <f>IF($A7="","",IF(COUNTIF('Player Stats'!$A$5:$A$400,$A7)=0,"",SUMIFS('Player Stats'!$K$5:$K$400,'Player Stats'!$A$5:$A$400,$A7)))</f>
        <v/>
      </c>
      <c r="G7" s="31">
        <f>IF(OR(E7="",F7=""),"",IF(E7&gt;F7,"W",IF(E7&lt;F7,"L","T")))</f>
        <v/>
      </c>
      <c r="H7" s="30" t="inlineStr">
        <is>
          <t>Blue Ridge Cup Tournament</t>
        </is>
      </c>
      <c r="I7" s="30" t="inlineStr">
        <is>
          <t>10:30 AM</t>
        </is>
      </c>
      <c r="J7" s="30" t="inlineStr">
        <is>
          <t>Ukrop Park - Richmond, VA</t>
        </is>
      </c>
    </row>
    <row r="8" ht="15" customHeight="1" s="22">
      <c r="A8" s="30" t="n">
        <v>4</v>
      </c>
      <c r="B8" s="30" t="inlineStr">
        <is>
          <t>9/12/2026</t>
        </is>
      </c>
      <c r="C8" s="30" t="inlineStr">
        <is>
          <t>Augusta United</t>
        </is>
      </c>
      <c r="D8" s="30" t="n"/>
      <c r="E8" s="31">
        <f>IF($A8="","",IF(COUNTIF('Player Stats'!$A$5:$A$400,$A8)=0,"",SUMIFS('Player Stats'!$F$5:$F$400,'Player Stats'!$A$5:$A$400,$A8)))</f>
        <v/>
      </c>
      <c r="F8" s="31">
        <f>IF($A8="","",IF(COUNTIF('Player Stats'!$A$5:$A$400,$A8)=0,"",SUMIFS('Player Stats'!$K$5:$K$400,'Player Stats'!$A$5:$A$400,$A8)))</f>
        <v/>
      </c>
      <c r="G8" s="31">
        <f>IF(OR(E8="",F8=""),"",IF(E8&gt;F8,"W",IF(E8&lt;F8,"L","T")))</f>
        <v/>
      </c>
      <c r="H8" s="30" t="inlineStr">
        <is>
          <t>VCSL Regular Season</t>
        </is>
      </c>
      <c r="I8" s="30" t="inlineStr">
        <is>
          <t>1:45 PM</t>
        </is>
      </c>
      <c r="J8" s="30" t="inlineStr">
        <is>
          <t>Rockingham Park - Penn Laird, VA</t>
        </is>
      </c>
    </row>
    <row r="9" ht="15" customHeight="1" s="22">
      <c r="A9" s="30" t="n">
        <v>5</v>
      </c>
      <c r="B9" s="30" t="inlineStr">
        <is>
          <t>9/19/2026</t>
        </is>
      </c>
      <c r="C9" s="30" t="inlineStr">
        <is>
          <t>New River United</t>
        </is>
      </c>
      <c r="D9" s="30" t="n"/>
      <c r="E9" s="31">
        <f>IF($A9="","",IF(COUNTIF('Player Stats'!$A$5:$A$400,$A9)=0,"",SUMIFS('Player Stats'!$F$5:$F$400,'Player Stats'!$A$5:$A$400,$A9)))</f>
        <v/>
      </c>
      <c r="F9" s="31">
        <f>IF($A9="","",IF(COUNTIF('Player Stats'!$A$5:$A$400,$A9)=0,"",SUMIFS('Player Stats'!$K$5:$K$400,'Player Stats'!$A$5:$A$400,$A9)))</f>
        <v/>
      </c>
      <c r="G9" s="31">
        <f>IF(OR(E9="",F9=""),"",IF(E9&gt;F9,"W",IF(E9&lt;F9,"L","T")))</f>
        <v/>
      </c>
      <c r="H9" s="30" t="inlineStr">
        <is>
          <t>VCSL Regular Season</t>
        </is>
      </c>
      <c r="I9" s="30" t="inlineStr">
        <is>
          <t>10:30 AM</t>
        </is>
      </c>
      <c r="J9" s="30" t="inlineStr">
        <is>
          <t>Rockingham Park - Penn Laird, VA</t>
        </is>
      </c>
    </row>
    <row r="10" ht="15" customHeight="1" s="22">
      <c r="A10" s="30" t="n">
        <v>6</v>
      </c>
      <c r="B10" s="30" t="inlineStr">
        <is>
          <t>9/20/2026</t>
        </is>
      </c>
      <c r="C10" s="30" t="inlineStr">
        <is>
          <t>Central Virginia United</t>
        </is>
      </c>
      <c r="D10" s="30" t="n"/>
      <c r="E10" s="31">
        <f>IF($A10="","",IF(COUNTIF('Player Stats'!$A$5:$A$400,$A10)=0,"",SUMIFS('Player Stats'!$F$5:$F$400,'Player Stats'!$A$5:$A$400,$A10)))</f>
        <v/>
      </c>
      <c r="F10" s="31">
        <f>IF($A10="","",IF(COUNTIF('Player Stats'!$A$5:$A$400,$A10)=0,"",SUMIFS('Player Stats'!$K$5:$K$400,'Player Stats'!$A$5:$A$400,$A10)))</f>
        <v/>
      </c>
      <c r="G10" s="31">
        <f>IF(OR(E10="",F10=""),"",IF(E10&gt;F10,"W",IF(E10&lt;F10,"L","T")))</f>
        <v/>
      </c>
      <c r="H10" s="30" t="inlineStr">
        <is>
          <t>VCSL Regular Season</t>
        </is>
      </c>
      <c r="I10" s="30" t="inlineStr">
        <is>
          <t>1:45 PM</t>
        </is>
      </c>
      <c r="J10" s="30" t="inlineStr">
        <is>
          <t>Central Virginia Regional Soccer Complex - Lexington, VA</t>
        </is>
      </c>
    </row>
    <row r="11" ht="15" customHeight="1" s="22">
      <c r="A11" s="30" t="n">
        <v>7</v>
      </c>
      <c r="B11" s="30" t="inlineStr">
        <is>
          <t>9/26/2026</t>
        </is>
      </c>
      <c r="C11" s="30" t="inlineStr">
        <is>
          <t>SOCA U16 Boys Blue</t>
        </is>
      </c>
      <c r="D11" s="30" t="n"/>
      <c r="E11" s="31">
        <f>IF($A11="","",IF(COUNTIF('Player Stats'!$A$5:$A$400,$A11)=0,"",SUMIFS('Player Stats'!$F$5:$F$400,'Player Stats'!$A$5:$A$400,$A11)))</f>
        <v/>
      </c>
      <c r="F11" s="31">
        <f>IF($A11="","",IF(COUNTIF('Player Stats'!$A$5:$A$400,$A11)=0,"",SUMIFS('Player Stats'!$K$5:$K$400,'Player Stats'!$A$5:$A$400,$A11)))</f>
        <v/>
      </c>
      <c r="G11" s="31">
        <f>IF(OR(E11="",F11=""),"",IF(E11&gt;F11,"W",IF(E11&lt;F11,"L","T")))</f>
        <v/>
      </c>
      <c r="H11" s="30" t="inlineStr">
        <is>
          <t>VCSL Regular Season</t>
        </is>
      </c>
      <c r="I11" s="30" t="inlineStr">
        <is>
          <t>3:15 PM</t>
        </is>
      </c>
      <c r="J11" s="30" t="inlineStr">
        <is>
          <t>Rockingham Park - Penn Laird, VA</t>
        </is>
      </c>
    </row>
    <row r="12" ht="15" customHeight="1" s="22">
      <c r="A12" s="30" t="n">
        <v>8</v>
      </c>
      <c r="B12" s="30" t="inlineStr">
        <is>
          <t>10/3/2026</t>
        </is>
      </c>
      <c r="C12" s="30" t="inlineStr">
        <is>
          <t>Virginia United FC</t>
        </is>
      </c>
      <c r="D12" s="30" t="n"/>
      <c r="E12" s="31">
        <f>IF($A12="","",IF(COUNTIF('Player Stats'!$A$5:$A$400,$A12)=0,"",SUMIFS('Player Stats'!$F$5:$F$400,'Player Stats'!$A$5:$A$400,$A12)))</f>
        <v/>
      </c>
      <c r="F12" s="31">
        <f>IF($A12="","",IF(COUNTIF('Player Stats'!$A$5:$A$400,$A12)=0,"",SUMIFS('Player Stats'!$K$5:$K$400,'Player Stats'!$A$5:$A$400,$A12)))</f>
        <v/>
      </c>
      <c r="G12" s="31">
        <f>IF(OR(E12="",F12=""),"",IF(E12&gt;F12,"W",IF(E12&lt;F12,"L","T")))</f>
        <v/>
      </c>
      <c r="H12" s="30" t="inlineStr">
        <is>
          <t>VCSL Regular Season</t>
        </is>
      </c>
      <c r="I12" s="30" t="inlineStr">
        <is>
          <t>1:45 PM</t>
        </is>
      </c>
      <c r="J12" s="30" t="inlineStr">
        <is>
          <t>Rockingham Park - Penn Laird, VA</t>
        </is>
      </c>
    </row>
    <row r="13" ht="15" customHeight="1" s="22">
      <c r="A13" s="30" t="n">
        <v>9</v>
      </c>
      <c r="B13" s="30" t="inlineStr">
        <is>
          <t>10/10/2026</t>
        </is>
      </c>
      <c r="C13" s="30" t="inlineStr">
        <is>
          <t>TBD</t>
        </is>
      </c>
      <c r="D13" s="30" t="n"/>
      <c r="E13" s="31">
        <f>IF($A13="","",IF(COUNTIF('Player Stats'!$A$5:$A$400,$A13)=0,"",SUMIFS('Player Stats'!$F$5:$F$400,'Player Stats'!$A$5:$A$400,$A13)))</f>
        <v/>
      </c>
      <c r="F13" s="31">
        <f>IF($A13="","",IF(COUNTIF('Player Stats'!$A$5:$A$400,$A13)=0,"",SUMIFS('Player Stats'!$K$5:$K$400,'Player Stats'!$A$5:$A$400,$A13)))</f>
        <v/>
      </c>
      <c r="G13" s="31">
        <f>IF(OR(E13="",F13=""),"",IF(E13&gt;F13,"W",IF(E13&lt;F13,"L","T")))</f>
        <v/>
      </c>
      <c r="H13" s="30" t="inlineStr">
        <is>
          <t>Columbus Day Tournament</t>
        </is>
      </c>
      <c r="I13" s="30" t="inlineStr">
        <is>
          <t>12:00 AM</t>
        </is>
      </c>
      <c r="J13" s="30" t="inlineStr">
        <is>
          <t>Virginia Beach</t>
        </is>
      </c>
    </row>
    <row r="14" ht="15" customHeight="1" s="22">
      <c r="A14" s="30" t="n">
        <v>10</v>
      </c>
      <c r="B14" s="30" t="inlineStr">
        <is>
          <t>10/10/2026</t>
        </is>
      </c>
      <c r="C14" s="30" t="inlineStr">
        <is>
          <t>TBD</t>
        </is>
      </c>
      <c r="D14" s="30" t="n"/>
      <c r="E14" s="31">
        <f>IF($A14="","",IF(COUNTIF('Player Stats'!$A$5:$A$400,$A14)=0,"",SUMIFS('Player Stats'!$F$5:$F$400,'Player Stats'!$A$5:$A$400,$A14)))</f>
        <v/>
      </c>
      <c r="F14" s="31">
        <f>IF($A14="","",IF(COUNTIF('Player Stats'!$A$5:$A$400,$A14)=0,"",SUMIFS('Player Stats'!$K$5:$K$400,'Player Stats'!$A$5:$A$400,$A14)))</f>
        <v/>
      </c>
      <c r="G14" s="31">
        <f>IF(OR(E14="",F14=""),"",IF(E14&gt;F14,"W",IF(E14&lt;F14,"L","T")))</f>
        <v/>
      </c>
      <c r="H14" s="30" t="inlineStr">
        <is>
          <t>Columbus Day Tournament</t>
        </is>
      </c>
      <c r="I14" s="30" t="inlineStr">
        <is>
          <t>12:00 AM</t>
        </is>
      </c>
      <c r="J14" s="30" t="inlineStr">
        <is>
          <t>Virginia Beach</t>
        </is>
      </c>
    </row>
    <row r="15" ht="15" customHeight="1" s="22">
      <c r="A15" s="30" t="n">
        <v>11</v>
      </c>
      <c r="B15" s="30" t="inlineStr">
        <is>
          <t>10/11/2026</t>
        </is>
      </c>
      <c r="C15" s="30" t="inlineStr">
        <is>
          <t>TBD</t>
        </is>
      </c>
      <c r="D15" s="30" t="n"/>
      <c r="E15" s="31">
        <f>IF($A15="","",IF(COUNTIF('Player Stats'!$A$5:$A$400,$A15)=0,"",SUMIFS('Player Stats'!$F$5:$F$400,'Player Stats'!$A$5:$A$400,$A15)))</f>
        <v/>
      </c>
      <c r="F15" s="31">
        <f>IF($A15="","",IF(COUNTIF('Player Stats'!$A$5:$A$400,$A15)=0,"",SUMIFS('Player Stats'!$K$5:$K$400,'Player Stats'!$A$5:$A$400,$A15)))</f>
        <v/>
      </c>
      <c r="G15" s="31">
        <f>IF(OR(E15="",F15=""),"",IF(E15&gt;F15,"W",IF(E15&lt;F15,"L","T")))</f>
        <v/>
      </c>
      <c r="H15" s="30" t="inlineStr">
        <is>
          <t>Columbus Day Tournament</t>
        </is>
      </c>
      <c r="I15" s="30" t="inlineStr">
        <is>
          <t>12:00 AM</t>
        </is>
      </c>
      <c r="J15" s="30" t="inlineStr">
        <is>
          <t>Virginia Beach</t>
        </is>
      </c>
    </row>
    <row r="16" ht="15" customHeight="1" s="22">
      <c r="A16" s="30" t="n">
        <v>12</v>
      </c>
      <c r="B16" s="30" t="inlineStr">
        <is>
          <t>10/17/2026</t>
        </is>
      </c>
      <c r="C16" s="30" t="inlineStr">
        <is>
          <t>SOCA U16 Boys Blue</t>
        </is>
      </c>
      <c r="D16" s="30" t="n"/>
      <c r="E16" s="31">
        <f>IF($A16="","",IF(COUNTIF('Player Stats'!$A$5:$A$400,$A16)=0,"",SUMIFS('Player Stats'!$F$5:$F$400,'Player Stats'!$A$5:$A$400,$A16)))</f>
        <v/>
      </c>
      <c r="F16" s="31">
        <f>IF($A16="","",IF(COUNTIF('Player Stats'!$A$5:$A$400,$A16)=0,"",SUMIFS('Player Stats'!$K$5:$K$400,'Player Stats'!$A$5:$A$400,$A16)))</f>
        <v/>
      </c>
      <c r="G16" s="31">
        <f>IF(OR(E16="",F16=""),"",IF(E16&gt;F16,"W",IF(E16&lt;F16,"L","T")))</f>
        <v/>
      </c>
      <c r="H16" s="30" t="inlineStr">
        <is>
          <t>VCSL Regular Season</t>
        </is>
      </c>
      <c r="I16" s="30" t="inlineStr">
        <is>
          <t>12:00 PM</t>
        </is>
      </c>
      <c r="J16" s="30" t="inlineStr">
        <is>
          <t>South Fork Soccer Park - Charlottesville, VA</t>
        </is>
      </c>
    </row>
    <row r="17" ht="15" customHeight="1" s="22">
      <c r="A17" s="30" t="n">
        <v>13</v>
      </c>
      <c r="B17" s="30" t="inlineStr">
        <is>
          <t>10/24/2026</t>
        </is>
      </c>
      <c r="C17" s="30" t="inlineStr">
        <is>
          <t>Augusta United</t>
        </is>
      </c>
      <c r="D17" s="30" t="n"/>
      <c r="E17" s="31">
        <f>IF($A17="","",IF(COUNTIF('Player Stats'!$A$5:$A$400,$A17)=0,"",SUMIFS('Player Stats'!$F$5:$F$400,'Player Stats'!$A$5:$A$400,$A17)))</f>
        <v/>
      </c>
      <c r="F17" s="31">
        <f>IF($A17="","",IF(COUNTIF('Player Stats'!$A$5:$A$400,$A17)=0,"",SUMIFS('Player Stats'!$K$5:$K$400,'Player Stats'!$A$5:$A$400,$A17)))</f>
        <v/>
      </c>
      <c r="G17" s="31">
        <f>IF(OR(E17="",F17=""),"",IF(E17&gt;F17,"W",IF(E17&lt;F17,"L","T")))</f>
        <v/>
      </c>
      <c r="H17" s="30" t="inlineStr">
        <is>
          <t>VCSL Regular Season</t>
        </is>
      </c>
      <c r="I17" s="30" t="inlineStr">
        <is>
          <t>10:00 AM</t>
        </is>
      </c>
      <c r="J17" s="30" t="inlineStr">
        <is>
          <t>Ridgeview Park - Waynesboro, VA</t>
        </is>
      </c>
    </row>
    <row r="18" ht="15" customHeight="1" s="22">
      <c r="A18" s="30" t="n">
        <v>14</v>
      </c>
      <c r="B18" s="30" t="inlineStr">
        <is>
          <t>10/31/2026</t>
        </is>
      </c>
      <c r="C18" s="30" t="inlineStr">
        <is>
          <t>New River United</t>
        </is>
      </c>
      <c r="D18" s="30" t="n"/>
      <c r="E18" s="31">
        <f>IF($A18="","",IF(COUNTIF('Player Stats'!$A$5:$A$400,$A18)=0,"",SUMIFS('Player Stats'!$F$5:$F$400,'Player Stats'!$A$5:$A$400,$A18)))</f>
        <v/>
      </c>
      <c r="F18" s="31">
        <f>IF($A18="","",IF(COUNTIF('Player Stats'!$A$5:$A$400,$A18)=0,"",SUMIFS('Player Stats'!$K$5:$K$400,'Player Stats'!$A$5:$A$400,$A18)))</f>
        <v/>
      </c>
      <c r="G18" s="31">
        <f>IF(OR(E18="",F18=""),"",IF(E18&gt;F18,"W",IF(E18&lt;F18,"L","T")))</f>
        <v/>
      </c>
      <c r="H18" s="30" t="inlineStr">
        <is>
          <t>VCSL Regular Season</t>
        </is>
      </c>
      <c r="I18" s="30" t="inlineStr">
        <is>
          <t>2:45 PM</t>
        </is>
      </c>
      <c r="J18" s="30" t="inlineStr">
        <is>
          <t>VT Rec Turf - Blacksburg, VA</t>
        </is>
      </c>
    </row>
    <row r="19" ht="15" customHeight="1" s="22">
      <c r="A19" s="30" t="n"/>
      <c r="B19" s="30" t="n"/>
      <c r="C19" s="30" t="n"/>
      <c r="D19" s="30" t="n"/>
      <c r="E19" s="31">
        <f>IF($A19="","",IF(COUNTIF('Player Stats'!$A$5:$A$400,$A19)=0,"",SUMIFS('Player Stats'!$F$5:$F$400,'Player Stats'!$A$5:$A$400,$A19)))</f>
        <v/>
      </c>
      <c r="F19" s="31">
        <f>IF($A19="","",IF(COUNTIF('Player Stats'!$A$5:$A$400,$A19)=0,"",SUMIFS('Player Stats'!$K$5:$K$400,'Player Stats'!$A$5:$A$400,$A19)))</f>
        <v/>
      </c>
      <c r="G19" s="31">
        <f>IF(OR(E19="",F19=""),"",IF(E19&gt;F19,"W",IF(E19&lt;F19,"L","T")))</f>
        <v/>
      </c>
      <c r="H19" s="32" t="n"/>
      <c r="I19" s="32" t="n"/>
      <c r="J19" s="32" t="n"/>
    </row>
    <row r="20" ht="15" customHeight="1" s="22">
      <c r="A20" s="30" t="n"/>
      <c r="B20" s="30" t="n"/>
      <c r="C20" s="30" t="n"/>
      <c r="D20" s="30" t="n"/>
      <c r="E20" s="31">
        <f>IF($A20="","",IF(COUNTIF('Player Stats'!$A$5:$A$400,$A20)=0,"",SUMIFS('Player Stats'!$F$5:$F$400,'Player Stats'!$A$5:$A$400,$A20)))</f>
        <v/>
      </c>
      <c r="F20" s="31">
        <f>IF($A20="","",IF(COUNTIF('Player Stats'!$A$5:$A$400,$A20)=0,"",SUMIFS('Player Stats'!$K$5:$K$400,'Player Stats'!$A$5:$A$400,$A20)))</f>
        <v/>
      </c>
      <c r="G20" s="31">
        <f>IF(OR(E20="",F20=""),"",IF(E20&gt;F20,"W",IF(E20&lt;F20,"L","T")))</f>
        <v/>
      </c>
      <c r="H20" s="32" t="n"/>
      <c r="I20" s="32" t="n"/>
      <c r="J20" s="32" t="n"/>
    </row>
    <row r="21" ht="15" customHeight="1" s="22">
      <c r="A21" s="30" t="n"/>
      <c r="B21" s="30" t="n"/>
      <c r="C21" s="30" t="n"/>
      <c r="D21" s="30" t="n"/>
      <c r="E21" s="31">
        <f>IF($A21="","",IF(COUNTIF('Player Stats'!$A$5:$A$400,$A21)=0,"",SUMIFS('Player Stats'!$F$5:$F$400,'Player Stats'!$A$5:$A$400,$A21)))</f>
        <v/>
      </c>
      <c r="F21" s="31">
        <f>IF($A21="","",IF(COUNTIF('Player Stats'!$A$5:$A$400,$A21)=0,"",SUMIFS('Player Stats'!$K$5:$K$400,'Player Stats'!$A$5:$A$400,$A21)))</f>
        <v/>
      </c>
      <c r="G21" s="31">
        <f>IF(OR(E21="",F21=""),"",IF(E21&gt;F21,"W",IF(E21&lt;F21,"L","T")))</f>
        <v/>
      </c>
      <c r="H21" s="32" t="n"/>
      <c r="I21" s="32" t="n"/>
      <c r="J21" s="32" t="n"/>
    </row>
    <row r="22" ht="15" customHeight="1" s="22">
      <c r="A22" s="30" t="n"/>
      <c r="B22" s="30" t="n"/>
      <c r="C22" s="30" t="n"/>
      <c r="D22" s="30" t="n"/>
      <c r="E22" s="31">
        <f>IF($A22="","",IF(COUNTIF('Player Stats'!$A$5:$A$400,$A22)=0,"",SUMIFS('Player Stats'!$F$5:$F$400,'Player Stats'!$A$5:$A$400,$A22)))</f>
        <v/>
      </c>
      <c r="F22" s="31">
        <f>IF($A22="","",IF(COUNTIF('Player Stats'!$A$5:$A$400,$A22)=0,"",SUMIFS('Player Stats'!$K$5:$K$400,'Player Stats'!$A$5:$A$400,$A22)))</f>
        <v/>
      </c>
      <c r="G22" s="31">
        <f>IF(OR(E22="",F22=""),"",IF(E22&gt;F22,"W",IF(E22&lt;F22,"L","T")))</f>
        <v/>
      </c>
      <c r="H22" s="32" t="n"/>
      <c r="I22" s="32" t="n"/>
      <c r="J22" s="32" t="n"/>
    </row>
    <row r="23" ht="15" customHeight="1" s="22">
      <c r="A23" s="30" t="n"/>
      <c r="B23" s="30" t="n"/>
      <c r="C23" s="30" t="n"/>
      <c r="D23" s="30" t="n"/>
      <c r="E23" s="31">
        <f>IF($A23="","",IF(COUNTIF('Player Stats'!$A$5:$A$400,$A23)=0,"",SUMIFS('Player Stats'!$F$5:$F$400,'Player Stats'!$A$5:$A$400,$A23)))</f>
        <v/>
      </c>
      <c r="F23" s="31">
        <f>IF($A23="","",IF(COUNTIF('Player Stats'!$A$5:$A$400,$A23)=0,"",SUMIFS('Player Stats'!$K$5:$K$400,'Player Stats'!$A$5:$A$400,$A23)))</f>
        <v/>
      </c>
      <c r="G23" s="31">
        <f>IF(OR(E23="",F23=""),"",IF(E23&gt;F23,"W",IF(E23&lt;F23,"L","T")))</f>
        <v/>
      </c>
      <c r="H23" s="32" t="n"/>
      <c r="I23" s="32" t="n"/>
      <c r="J23" s="32" t="n"/>
    </row>
    <row r="24" ht="15" customHeight="1" s="22">
      <c r="A24" s="30" t="n"/>
      <c r="B24" s="30" t="n"/>
      <c r="C24" s="30" t="n"/>
      <c r="D24" s="30" t="n"/>
      <c r="E24" s="31">
        <f>IF($A24="","",IF(COUNTIF('Player Stats'!$A$5:$A$400,$A24)=0,"",SUMIFS('Player Stats'!$F$5:$F$400,'Player Stats'!$A$5:$A$400,$A24)))</f>
        <v/>
      </c>
      <c r="F24" s="31">
        <f>IF($A24="","",IF(COUNTIF('Player Stats'!$A$5:$A$400,$A24)=0,"",SUMIFS('Player Stats'!$K$5:$K$400,'Player Stats'!$A$5:$A$400,$A24)))</f>
        <v/>
      </c>
      <c r="G24" s="31">
        <f>IF(OR(E24="",F24=""),"",IF(E24&gt;F24,"W",IF(E24&lt;F24,"L","T")))</f>
        <v/>
      </c>
      <c r="H24" s="32" t="n"/>
      <c r="I24" s="32" t="n"/>
      <c r="J24" s="32" t="n"/>
    </row>
    <row r="25" ht="15" customHeight="1" s="22">
      <c r="A25" s="30" t="n"/>
      <c r="B25" s="30" t="n"/>
      <c r="C25" s="30" t="n"/>
      <c r="D25" s="30" t="n"/>
      <c r="E25" s="31">
        <f>IF($A25="","",IF(COUNTIF('Player Stats'!$A$5:$A$400,$A25)=0,"",SUMIFS('Player Stats'!$F$5:$F$400,'Player Stats'!$A$5:$A$400,$A25)))</f>
        <v/>
      </c>
      <c r="F25" s="31">
        <f>IF($A25="","",IF(COUNTIF('Player Stats'!$A$5:$A$400,$A25)=0,"",SUMIFS('Player Stats'!$K$5:$K$400,'Player Stats'!$A$5:$A$400,$A25)))</f>
        <v/>
      </c>
      <c r="G25" s="31">
        <f>IF(OR(E25="",F25=""),"",IF(E25&gt;F25,"W",IF(E25&lt;F25,"L","T")))</f>
        <v/>
      </c>
      <c r="H25" s="32" t="n"/>
      <c r="I25" s="32" t="n"/>
      <c r="J25" s="32" t="n"/>
    </row>
  </sheetData>
  <mergeCells count="2">
    <mergeCell ref="A1:J1"/>
    <mergeCell ref="A2:J2"/>
  </mergeCells>
  <dataValidations count="1">
    <dataValidation sqref="D5:D25" showDropDown="0" showInputMessage="0" showErrorMessage="0" allowBlank="1" type="list" errorStyle="stop" operator="between">
      <formula1>"Home,Away"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4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1" min="1" max="1"/>
    <col width="12" customWidth="1" style="21" min="2" max="2"/>
    <col width="26" customWidth="1" style="21" min="3" max="3"/>
    <col width="24" customWidth="1" style="21" min="4" max="4"/>
    <col width="15" customWidth="1" style="21" min="5" max="5"/>
    <col width="9" customWidth="1" style="21" min="6" max="7"/>
    <col width="13" customWidth="1" style="21" min="8" max="8"/>
    <col width="11" customWidth="1" style="21" min="9" max="9"/>
    <col width="9" customWidth="1" style="21" min="10" max="10"/>
    <col width="14" customWidth="1" style="21" min="11" max="11"/>
  </cols>
  <sheetData>
    <row r="1" ht="17.25" customHeight="1" s="22">
      <c r="A1" s="23" t="inlineStr">
        <is>
          <t>Player Stats Log</t>
        </is>
      </c>
    </row>
    <row r="2" ht="15" customHeight="1" s="22">
      <c r="A2" s="29" t="inlineStr">
        <is>
          <t>Add one row per player after each game. Use the dropdowns for Player and Attended. For whoever played goalie, also fill in Saves and Goals Allowed — that's what drives the Opp Score on the Games tab. Season Totals updates on its own.</t>
        </is>
      </c>
    </row>
    <row r="4" ht="15" customHeight="1" s="22">
      <c r="A4" s="24" t="inlineStr">
        <is>
          <t>Game #</t>
        </is>
      </c>
      <c r="B4" s="24" t="inlineStr">
        <is>
          <t>Date</t>
        </is>
      </c>
      <c r="C4" s="24" t="inlineStr">
        <is>
          <t>Opponent</t>
        </is>
      </c>
      <c r="D4" s="24" t="inlineStr">
        <is>
          <t>Player</t>
        </is>
      </c>
      <c r="E4" s="24" t="inlineStr">
        <is>
          <t>Attended (Y/N)</t>
        </is>
      </c>
      <c r="F4" s="24" t="inlineStr">
        <is>
          <t>Goals</t>
        </is>
      </c>
      <c r="G4" s="24" t="inlineStr">
        <is>
          <t>Assists</t>
        </is>
      </c>
      <c r="H4" s="24" t="inlineStr">
        <is>
          <t>Yellow Cards</t>
        </is>
      </c>
      <c r="I4" s="24" t="inlineStr">
        <is>
          <t>Red Cards</t>
        </is>
      </c>
      <c r="J4" s="24" t="inlineStr">
        <is>
          <t>Saves</t>
        </is>
      </c>
      <c r="K4" s="24" t="inlineStr">
        <is>
          <t>Goals Allowed</t>
        </is>
      </c>
    </row>
    <row r="5" ht="15" customHeight="1" s="22">
      <c r="A5" s="30" t="n">
        <v>2</v>
      </c>
      <c r="B5" s="30" t="inlineStr">
        <is>
          <t>9/5/2026</t>
        </is>
      </c>
      <c r="C5" s="33" t="inlineStr">
        <is>
          <t>Virginia Valor</t>
        </is>
      </c>
      <c r="D5" s="33" t="inlineStr">
        <is>
          <t>Evan Mercer</t>
        </is>
      </c>
      <c r="E5" s="30" t="inlineStr">
        <is>
          <t>Y</t>
        </is>
      </c>
      <c r="F5" s="30" t="n">
        <v>2</v>
      </c>
      <c r="G5" s="30" t="n">
        <v>0</v>
      </c>
      <c r="H5" s="30" t="n">
        <v>0</v>
      </c>
      <c r="I5" s="30" t="n">
        <v>0</v>
      </c>
      <c r="J5" s="30" t="n"/>
      <c r="K5" s="30" t="n"/>
    </row>
    <row r="6" ht="15" customHeight="1" s="22">
      <c r="A6" s="30" t="n">
        <v>2</v>
      </c>
      <c r="B6" s="30" t="inlineStr">
        <is>
          <t>9/5/2026</t>
        </is>
      </c>
      <c r="C6" s="33" t="inlineStr">
        <is>
          <t>Virginia Valor</t>
        </is>
      </c>
      <c r="D6" s="33" t="inlineStr">
        <is>
          <t>Yousaf Hussain Khil</t>
        </is>
      </c>
      <c r="E6" s="30" t="inlineStr">
        <is>
          <t>Y</t>
        </is>
      </c>
      <c r="F6" s="30" t="n">
        <v>0</v>
      </c>
      <c r="G6" s="30" t="n">
        <v>1</v>
      </c>
      <c r="H6" s="30" t="n">
        <v>0</v>
      </c>
      <c r="I6" s="30" t="n">
        <v>0</v>
      </c>
      <c r="J6" s="30" t="n"/>
      <c r="K6" s="30" t="n"/>
    </row>
    <row r="7" ht="15" customHeight="1" s="22">
      <c r="A7" s="30" t="n">
        <v>2</v>
      </c>
      <c r="B7" s="30" t="inlineStr">
        <is>
          <t>9/5/2026</t>
        </is>
      </c>
      <c r="C7" s="33" t="inlineStr">
        <is>
          <t>Virginia Valor</t>
        </is>
      </c>
      <c r="D7" s="33" t="inlineStr">
        <is>
          <t>Benjamin Kratz</t>
        </is>
      </c>
      <c r="E7" s="30" t="inlineStr">
        <is>
          <t>Y</t>
        </is>
      </c>
      <c r="F7" s="30" t="n">
        <v>0</v>
      </c>
      <c r="G7" s="30" t="n">
        <v>1</v>
      </c>
      <c r="H7" s="30" t="n">
        <v>0</v>
      </c>
      <c r="I7" s="30" t="n">
        <v>0</v>
      </c>
      <c r="J7" s="30" t="n"/>
      <c r="K7" s="30" t="n"/>
    </row>
    <row r="8" ht="15" customHeight="1" s="22">
      <c r="A8" s="30" t="n">
        <v>2</v>
      </c>
      <c r="B8" s="30" t="inlineStr">
        <is>
          <t>9/5/2026</t>
        </is>
      </c>
      <c r="C8" s="33" t="inlineStr">
        <is>
          <t>Virginia Valor</t>
        </is>
      </c>
      <c r="D8" s="33" t="inlineStr">
        <is>
          <t>Caleb Eccles</t>
        </is>
      </c>
      <c r="E8" s="30" t="inlineStr">
        <is>
          <t>Y</t>
        </is>
      </c>
      <c r="F8" s="30" t="n">
        <v>0</v>
      </c>
      <c r="G8" s="30" t="n">
        <v>0</v>
      </c>
      <c r="H8" s="30" t="n">
        <v>0</v>
      </c>
      <c r="I8" s="30" t="n">
        <v>0</v>
      </c>
      <c r="J8" s="30" t="n"/>
      <c r="K8" s="30" t="n">
        <v>1</v>
      </c>
    </row>
    <row r="9" ht="15" customHeight="1" s="22">
      <c r="A9" s="30" t="n">
        <v>3</v>
      </c>
      <c r="B9" s="30" t="inlineStr">
        <is>
          <t>9/6/2026</t>
        </is>
      </c>
      <c r="C9" s="33" t="inlineStr">
        <is>
          <t>SOCA Elite U16</t>
        </is>
      </c>
      <c r="D9" s="33" t="inlineStr">
        <is>
          <t>Evan Mercer</t>
        </is>
      </c>
      <c r="E9" s="30" t="inlineStr">
        <is>
          <t>Y</t>
        </is>
      </c>
      <c r="F9" s="30" t="n">
        <v>1</v>
      </c>
      <c r="G9" s="30" t="n">
        <v>1</v>
      </c>
      <c r="H9" s="30" t="n">
        <v>0</v>
      </c>
      <c r="I9" s="30" t="n">
        <v>0</v>
      </c>
      <c r="J9" s="30" t="n"/>
      <c r="K9" s="30" t="n"/>
    </row>
    <row r="10" ht="15" customHeight="1" s="22">
      <c r="A10" s="30" t="n">
        <v>3</v>
      </c>
      <c r="B10" s="30" t="inlineStr">
        <is>
          <t>9/6/2026</t>
        </is>
      </c>
      <c r="C10" s="33" t="inlineStr">
        <is>
          <t>SOCA Elite U16</t>
        </is>
      </c>
      <c r="D10" s="33" t="inlineStr">
        <is>
          <t>Evan Arenas</t>
        </is>
      </c>
      <c r="E10" s="30" t="inlineStr">
        <is>
          <t>Y</t>
        </is>
      </c>
      <c r="F10" s="30" t="n">
        <v>0</v>
      </c>
      <c r="G10" s="30" t="n">
        <v>1</v>
      </c>
      <c r="H10" s="30" t="n">
        <v>0</v>
      </c>
      <c r="I10" s="30" t="n">
        <v>0</v>
      </c>
      <c r="J10" s="30" t="n"/>
      <c r="K10" s="30" t="n"/>
    </row>
    <row r="11" ht="15" customHeight="1" s="22">
      <c r="A11" s="30" t="n">
        <v>3</v>
      </c>
      <c r="B11" s="30" t="inlineStr">
        <is>
          <t>9/6/2026</t>
        </is>
      </c>
      <c r="C11" s="33" t="inlineStr">
        <is>
          <t>SOCA Elite U16</t>
        </is>
      </c>
      <c r="D11" s="33" t="inlineStr">
        <is>
          <t>Benjamin Kratz</t>
        </is>
      </c>
      <c r="E11" s="30" t="inlineStr">
        <is>
          <t>Y</t>
        </is>
      </c>
      <c r="F11" s="30" t="n">
        <v>1</v>
      </c>
      <c r="G11" s="30" t="n">
        <v>0</v>
      </c>
      <c r="H11" s="30" t="n">
        <v>0</v>
      </c>
      <c r="I11" s="30" t="n">
        <v>0</v>
      </c>
      <c r="J11" s="30" t="n"/>
      <c r="K11" s="30" t="n"/>
    </row>
    <row r="12" ht="15" customHeight="1" s="22">
      <c r="A12" s="30" t="n">
        <v>3</v>
      </c>
      <c r="B12" s="30" t="inlineStr">
        <is>
          <t>9/6/2026</t>
        </is>
      </c>
      <c r="C12" s="33" t="inlineStr">
        <is>
          <t>SOCA Elite U16</t>
        </is>
      </c>
      <c r="D12" s="33" t="inlineStr">
        <is>
          <t>Jackson Mills</t>
        </is>
      </c>
      <c r="E12" s="30" t="inlineStr">
        <is>
          <t>Y</t>
        </is>
      </c>
      <c r="F12" s="30" t="n">
        <v>0</v>
      </c>
      <c r="G12" s="30" t="n">
        <v>0</v>
      </c>
      <c r="H12" s="30" t="n">
        <v>0</v>
      </c>
      <c r="I12" s="30" t="n">
        <v>0</v>
      </c>
      <c r="J12" s="30" t="n"/>
      <c r="K12" s="30" t="n">
        <v>1</v>
      </c>
    </row>
    <row r="13" ht="15" customHeight="1" s="22">
      <c r="A13" s="30" t="n">
        <v>3</v>
      </c>
      <c r="B13" s="30" t="inlineStr">
        <is>
          <t>9/6/2026</t>
        </is>
      </c>
      <c r="C13" s="33" t="inlineStr">
        <is>
          <t>SOCA Elite U16</t>
        </is>
      </c>
      <c r="D13" s="33" t="inlineStr">
        <is>
          <t>Caleb Eccles</t>
        </is>
      </c>
      <c r="E13" s="30" t="inlineStr">
        <is>
          <t>Y</t>
        </is>
      </c>
      <c r="F13" s="30" t="n">
        <v>0</v>
      </c>
      <c r="G13" s="30" t="n">
        <v>0</v>
      </c>
      <c r="H13" s="30" t="n">
        <v>0</v>
      </c>
      <c r="I13" s="30" t="n">
        <v>0</v>
      </c>
      <c r="J13" s="30" t="n"/>
      <c r="K13" s="30" t="n">
        <v>2</v>
      </c>
    </row>
    <row r="14" ht="15" customHeight="1" s="22">
      <c r="A14" s="30" t="n">
        <v>4</v>
      </c>
      <c r="B14" s="30" t="inlineStr">
        <is>
          <t>9/12/2026</t>
        </is>
      </c>
      <c r="C14" s="30" t="inlineStr">
        <is>
          <t>Augusta United</t>
        </is>
      </c>
      <c r="D14" s="33" t="inlineStr">
        <is>
          <t>Evan Mercer</t>
        </is>
      </c>
      <c r="E14" s="33" t="inlineStr">
        <is>
          <t>Y</t>
        </is>
      </c>
      <c r="F14" s="30" t="n">
        <v>2</v>
      </c>
      <c r="G14" s="30" t="n">
        <v>1</v>
      </c>
      <c r="H14" s="30" t="n">
        <v>0</v>
      </c>
      <c r="I14" s="30" t="n">
        <v>0</v>
      </c>
      <c r="J14" s="30" t="n"/>
      <c r="K14" s="30" t="n"/>
    </row>
    <row r="15" ht="15" customHeight="1" s="22">
      <c r="A15" s="30" t="n">
        <v>4</v>
      </c>
      <c r="B15" s="30" t="inlineStr">
        <is>
          <t>9/12/2026</t>
        </is>
      </c>
      <c r="C15" s="30" t="inlineStr">
        <is>
          <t>Augusta United</t>
        </is>
      </c>
      <c r="D15" s="33" t="inlineStr">
        <is>
          <t>Benjamin Kratz</t>
        </is>
      </c>
      <c r="E15" s="33" t="inlineStr">
        <is>
          <t>Y</t>
        </is>
      </c>
      <c r="F15" s="30" t="n">
        <v>3</v>
      </c>
      <c r="G15" s="30" t="n">
        <v>0</v>
      </c>
      <c r="H15" s="30" t="n">
        <v>0</v>
      </c>
      <c r="I15" s="30" t="n">
        <v>0</v>
      </c>
      <c r="J15" s="30" t="n"/>
      <c r="K15" s="30" t="n"/>
    </row>
    <row r="16" ht="15" customHeight="1" s="22">
      <c r="A16" s="30" t="n">
        <v>4</v>
      </c>
      <c r="B16" s="30" t="inlineStr">
        <is>
          <t>9/12/2026</t>
        </is>
      </c>
      <c r="C16" s="30" t="inlineStr">
        <is>
          <t>Augusta United</t>
        </is>
      </c>
      <c r="D16" s="33" t="inlineStr">
        <is>
          <t>Yousaf Hussain Khil</t>
        </is>
      </c>
      <c r="E16" s="33" t="inlineStr">
        <is>
          <t>Y</t>
        </is>
      </c>
      <c r="F16" s="30" t="n">
        <v>1</v>
      </c>
      <c r="G16" s="30" t="n">
        <v>1</v>
      </c>
      <c r="H16" s="30" t="n">
        <v>0</v>
      </c>
      <c r="I16" s="30" t="n">
        <v>0</v>
      </c>
      <c r="J16" s="30" t="n"/>
      <c r="K16" s="30" t="n"/>
    </row>
    <row r="17" ht="15" customHeight="1" s="22">
      <c r="A17" s="30" t="n">
        <v>4</v>
      </c>
      <c r="B17" s="30" t="inlineStr">
        <is>
          <t>9/12/2026</t>
        </is>
      </c>
      <c r="C17" s="30" t="inlineStr">
        <is>
          <t>Augusta United</t>
        </is>
      </c>
      <c r="D17" s="33" t="inlineStr">
        <is>
          <t>Joseph Benitez Maldonado</t>
        </is>
      </c>
      <c r="E17" s="33" t="inlineStr">
        <is>
          <t>Y</t>
        </is>
      </c>
      <c r="F17" s="30" t="n">
        <v>1</v>
      </c>
      <c r="G17" s="30" t="n">
        <v>2</v>
      </c>
      <c r="H17" s="30" t="n">
        <v>0</v>
      </c>
      <c r="I17" s="30" t="n">
        <v>0</v>
      </c>
      <c r="J17" s="30" t="n"/>
      <c r="K17" s="30" t="n"/>
    </row>
    <row r="18" ht="15" customHeight="1" s="22">
      <c r="A18" s="30" t="n">
        <v>4</v>
      </c>
      <c r="B18" s="30" t="inlineStr">
        <is>
          <t>9/12/2026</t>
        </is>
      </c>
      <c r="C18" s="30" t="inlineStr">
        <is>
          <t>Augusta United</t>
        </is>
      </c>
      <c r="D18" s="33" t="inlineStr">
        <is>
          <t>Zaden Bandy</t>
        </is>
      </c>
      <c r="E18" s="33" t="inlineStr">
        <is>
          <t>Y</t>
        </is>
      </c>
      <c r="F18" s="30" t="n">
        <v>0</v>
      </c>
      <c r="G18" s="30" t="n">
        <v>2</v>
      </c>
      <c r="H18" s="30" t="n">
        <v>0</v>
      </c>
      <c r="I18" s="30" t="n">
        <v>0</v>
      </c>
      <c r="J18" s="30" t="n"/>
      <c r="K18" s="30" t="n"/>
    </row>
    <row r="19" ht="15" customHeight="1" s="22">
      <c r="A19" s="30" t="n">
        <v>4</v>
      </c>
      <c r="B19" s="30" t="inlineStr">
        <is>
          <t>9/12/2026</t>
        </is>
      </c>
      <c r="C19" s="30" t="inlineStr">
        <is>
          <t>Augusta United</t>
        </is>
      </c>
      <c r="D19" s="33" t="inlineStr">
        <is>
          <t>Weston Hash</t>
        </is>
      </c>
      <c r="E19" s="33" t="inlineStr">
        <is>
          <t>Y</t>
        </is>
      </c>
      <c r="F19" s="30" t="n">
        <v>1</v>
      </c>
      <c r="G19" s="30" t="n">
        <v>0</v>
      </c>
      <c r="H19" s="30" t="n">
        <v>0</v>
      </c>
      <c r="I19" s="30" t="n">
        <v>0</v>
      </c>
      <c r="J19" s="30" t="n"/>
      <c r="K19" s="30" t="n"/>
    </row>
    <row r="20" ht="15" customHeight="1" s="22">
      <c r="A20" s="30" t="n">
        <v>4</v>
      </c>
      <c r="B20" s="30" t="inlineStr">
        <is>
          <t>9/12/2026</t>
        </is>
      </c>
      <c r="C20" s="30" t="inlineStr">
        <is>
          <t>Augusta United</t>
        </is>
      </c>
      <c r="D20" s="33" t="inlineStr">
        <is>
          <t>Landon Shaver</t>
        </is>
      </c>
      <c r="E20" s="33" t="inlineStr">
        <is>
          <t>Y</t>
        </is>
      </c>
      <c r="F20" s="30" t="n">
        <v>0</v>
      </c>
      <c r="G20" s="30" t="n">
        <v>1</v>
      </c>
      <c r="H20" s="30" t="n">
        <v>0</v>
      </c>
      <c r="I20" s="30" t="n">
        <v>0</v>
      </c>
      <c r="J20" s="30" t="n"/>
      <c r="K20" s="30" t="n"/>
    </row>
    <row r="21" ht="15" customHeight="1" s="22">
      <c r="A21" s="30" t="n">
        <v>4</v>
      </c>
      <c r="B21" s="30" t="inlineStr">
        <is>
          <t>9/12/2026</t>
        </is>
      </c>
      <c r="C21" s="30" t="inlineStr">
        <is>
          <t>Augusta United</t>
        </is>
      </c>
      <c r="D21" s="33" t="inlineStr">
        <is>
          <t>Matthew Bing</t>
        </is>
      </c>
      <c r="E21" s="33" t="inlineStr">
        <is>
          <t>Y</t>
        </is>
      </c>
      <c r="F21" s="30" t="n">
        <v>0</v>
      </c>
      <c r="G21" s="30" t="n">
        <v>1</v>
      </c>
      <c r="H21" s="30" t="n">
        <v>0</v>
      </c>
      <c r="I21" s="30" t="n">
        <v>0</v>
      </c>
      <c r="J21" s="30" t="n"/>
      <c r="K21" s="30" t="n"/>
    </row>
    <row r="22" ht="15" customHeight="1" s="22">
      <c r="A22" s="30" t="n">
        <v>2</v>
      </c>
      <c r="B22" s="30" t="inlineStr">
        <is>
          <t>9/5/2026</t>
        </is>
      </c>
      <c r="C22" s="30" t="inlineStr">
        <is>
          <t>Virginia Valor</t>
        </is>
      </c>
      <c r="D22" s="33" t="inlineStr">
        <is>
          <t>Evan Arenas</t>
        </is>
      </c>
      <c r="E22" s="33" t="inlineStr">
        <is>
          <t>Y</t>
        </is>
      </c>
      <c r="F22" s="30" t="n">
        <v>0</v>
      </c>
      <c r="G22" s="30" t="n">
        <v>0</v>
      </c>
      <c r="H22" s="30" t="n">
        <v>0</v>
      </c>
      <c r="I22" s="30" t="n">
        <v>0</v>
      </c>
      <c r="J22" s="30" t="n"/>
      <c r="K22" s="30" t="n"/>
    </row>
    <row r="23" ht="15" customHeight="1" s="22">
      <c r="A23" s="30" t="n">
        <v>2</v>
      </c>
      <c r="B23" s="30" t="inlineStr">
        <is>
          <t>9/5/2026</t>
        </is>
      </c>
      <c r="C23" s="30" t="inlineStr">
        <is>
          <t>Virginia Valor</t>
        </is>
      </c>
      <c r="D23" s="33" t="inlineStr">
        <is>
          <t>Matthew Bing</t>
        </is>
      </c>
      <c r="E23" s="33" t="inlineStr">
        <is>
          <t>Y</t>
        </is>
      </c>
      <c r="F23" s="30" t="n">
        <v>0</v>
      </c>
      <c r="G23" s="30" t="n">
        <v>0</v>
      </c>
      <c r="H23" s="30" t="n">
        <v>0</v>
      </c>
      <c r="I23" s="30" t="n">
        <v>0</v>
      </c>
      <c r="J23" s="30" t="n"/>
      <c r="K23" s="30" t="n"/>
    </row>
    <row r="24" ht="15" customHeight="1" s="22">
      <c r="A24" s="30" t="n">
        <v>2</v>
      </c>
      <c r="B24" s="30" t="inlineStr">
        <is>
          <t>9/5/2026</t>
        </is>
      </c>
      <c r="C24" s="30" t="inlineStr">
        <is>
          <t>Virginia Valor</t>
        </is>
      </c>
      <c r="D24" s="33" t="inlineStr">
        <is>
          <t>Josue Borja-Serrato</t>
        </is>
      </c>
      <c r="E24" s="33" t="inlineStr">
        <is>
          <t>Y</t>
        </is>
      </c>
      <c r="F24" s="30" t="n">
        <v>0</v>
      </c>
      <c r="G24" s="30" t="n">
        <v>0</v>
      </c>
      <c r="H24" s="30" t="n">
        <v>0</v>
      </c>
      <c r="I24" s="30" t="n">
        <v>0</v>
      </c>
      <c r="J24" s="30" t="n"/>
      <c r="K24" s="30" t="n"/>
    </row>
    <row r="25" ht="15" customHeight="1" s="22">
      <c r="A25" s="30" t="n">
        <v>2</v>
      </c>
      <c r="B25" s="30" t="inlineStr">
        <is>
          <t>9/5/2026</t>
        </is>
      </c>
      <c r="C25" s="30" t="inlineStr">
        <is>
          <t>Virginia Valor</t>
        </is>
      </c>
      <c r="D25" s="33" t="inlineStr">
        <is>
          <t>Fionn Criscione</t>
        </is>
      </c>
      <c r="E25" s="33" t="inlineStr">
        <is>
          <t>Y</t>
        </is>
      </c>
      <c r="F25" s="30" t="n">
        <v>0</v>
      </c>
      <c r="G25" s="30" t="n">
        <v>0</v>
      </c>
      <c r="H25" s="30" t="n">
        <v>0</v>
      </c>
      <c r="I25" s="30" t="n">
        <v>0</v>
      </c>
      <c r="J25" s="30" t="n"/>
      <c r="K25" s="30" t="n"/>
    </row>
    <row r="26" ht="15" customHeight="1" s="22">
      <c r="A26" s="30" t="n">
        <v>2</v>
      </c>
      <c r="B26" s="30" t="inlineStr">
        <is>
          <t>9/5/2026</t>
        </is>
      </c>
      <c r="C26" s="30" t="inlineStr">
        <is>
          <t>Virginia Valor</t>
        </is>
      </c>
      <c r="D26" s="33" t="inlineStr">
        <is>
          <t>Jefferson Gonzalez-Nolasco</t>
        </is>
      </c>
      <c r="E26" s="33" t="inlineStr">
        <is>
          <t>Y</t>
        </is>
      </c>
      <c r="F26" s="30" t="n">
        <v>0</v>
      </c>
      <c r="G26" s="30" t="n">
        <v>0</v>
      </c>
      <c r="H26" s="30" t="n">
        <v>0</v>
      </c>
      <c r="I26" s="30" t="n">
        <v>0</v>
      </c>
      <c r="J26" s="30" t="n"/>
      <c r="K26" s="30" t="n"/>
    </row>
    <row r="27" ht="15" customHeight="1" s="22">
      <c r="A27" s="30" t="n">
        <v>2</v>
      </c>
      <c r="B27" s="30" t="inlineStr">
        <is>
          <t>9/5/2026</t>
        </is>
      </c>
      <c r="C27" s="30" t="inlineStr">
        <is>
          <t>Virginia Valor</t>
        </is>
      </c>
      <c r="D27" s="33" t="inlineStr">
        <is>
          <t>Weston Hash</t>
        </is>
      </c>
      <c r="E27" s="33" t="inlineStr">
        <is>
          <t>Y</t>
        </is>
      </c>
      <c r="F27" s="30" t="n">
        <v>0</v>
      </c>
      <c r="G27" s="30" t="n">
        <v>0</v>
      </c>
      <c r="H27" s="30" t="n">
        <v>0</v>
      </c>
      <c r="I27" s="30" t="n">
        <v>0</v>
      </c>
      <c r="J27" s="30" t="n"/>
      <c r="K27" s="30" t="n"/>
    </row>
    <row r="28" ht="15" customHeight="1" s="22">
      <c r="A28" s="30" t="n">
        <v>2</v>
      </c>
      <c r="B28" s="30" t="inlineStr">
        <is>
          <t>9/5/2026</t>
        </is>
      </c>
      <c r="C28" s="30" t="inlineStr">
        <is>
          <t>Virginia Valor</t>
        </is>
      </c>
      <c r="D28" s="33" t="inlineStr">
        <is>
          <t>Zaden Bandy</t>
        </is>
      </c>
      <c r="E28" s="33" t="inlineStr">
        <is>
          <t>Y</t>
        </is>
      </c>
      <c r="F28" s="30" t="n">
        <v>0</v>
      </c>
      <c r="G28" s="30" t="n">
        <v>0</v>
      </c>
      <c r="H28" s="30" t="n">
        <v>0</v>
      </c>
      <c r="I28" s="30" t="n">
        <v>0</v>
      </c>
      <c r="J28" s="30" t="n"/>
      <c r="K28" s="30" t="n"/>
    </row>
    <row r="29" ht="15" customHeight="1" s="22">
      <c r="A29" s="30" t="n">
        <v>2</v>
      </c>
      <c r="B29" s="30" t="inlineStr">
        <is>
          <t>9/5/2026</t>
        </is>
      </c>
      <c r="C29" s="30" t="inlineStr">
        <is>
          <t>Virginia Valor</t>
        </is>
      </c>
      <c r="D29" s="33" t="inlineStr">
        <is>
          <t>Vinny Machan</t>
        </is>
      </c>
      <c r="E29" s="33" t="inlineStr">
        <is>
          <t>Y</t>
        </is>
      </c>
      <c r="F29" s="30" t="n">
        <v>0</v>
      </c>
      <c r="G29" s="30" t="n">
        <v>0</v>
      </c>
      <c r="H29" s="30" t="n">
        <v>0</v>
      </c>
      <c r="I29" s="30" t="n">
        <v>0</v>
      </c>
      <c r="J29" s="30" t="n"/>
      <c r="K29" s="30" t="n"/>
    </row>
    <row r="30" ht="15" customHeight="1" s="22">
      <c r="A30" s="30" t="n">
        <v>2</v>
      </c>
      <c r="B30" s="30" t="inlineStr">
        <is>
          <t>9/5/2026</t>
        </is>
      </c>
      <c r="C30" s="30" t="inlineStr">
        <is>
          <t>Virginia Valor</t>
        </is>
      </c>
      <c r="D30" s="33" t="inlineStr">
        <is>
          <t>Jackson Mills</t>
        </is>
      </c>
      <c r="E30" s="33" t="inlineStr">
        <is>
          <t>Y</t>
        </is>
      </c>
      <c r="F30" s="30" t="n">
        <v>0</v>
      </c>
      <c r="G30" s="30" t="n">
        <v>0</v>
      </c>
      <c r="H30" s="30" t="n">
        <v>0</v>
      </c>
      <c r="I30" s="30" t="n">
        <v>0</v>
      </c>
      <c r="J30" s="30" t="n"/>
      <c r="K30" s="30" t="n"/>
    </row>
    <row r="31" ht="15" customHeight="1" s="22">
      <c r="A31" s="30" t="n">
        <v>2</v>
      </c>
      <c r="B31" s="30" t="inlineStr">
        <is>
          <t>9/5/2026</t>
        </is>
      </c>
      <c r="C31" s="30" t="inlineStr">
        <is>
          <t>Virginia Valor</t>
        </is>
      </c>
      <c r="D31" s="33" t="inlineStr">
        <is>
          <t>Landon Shaver</t>
        </is>
      </c>
      <c r="E31" s="33" t="inlineStr">
        <is>
          <t>Y</t>
        </is>
      </c>
      <c r="F31" s="30" t="n">
        <v>0</v>
      </c>
      <c r="G31" s="30" t="n">
        <v>0</v>
      </c>
      <c r="H31" s="30" t="n">
        <v>0</v>
      </c>
      <c r="I31" s="30" t="n">
        <v>0</v>
      </c>
      <c r="J31" s="30" t="n"/>
      <c r="K31" s="30" t="n"/>
    </row>
    <row r="32" ht="15" customHeight="1" s="22">
      <c r="A32" s="30" t="n">
        <v>2</v>
      </c>
      <c r="B32" s="30" t="inlineStr">
        <is>
          <t>9/5/2026</t>
        </is>
      </c>
      <c r="C32" s="30" t="inlineStr">
        <is>
          <t>Virginia Valor</t>
        </is>
      </c>
      <c r="D32" s="33" t="inlineStr">
        <is>
          <t>Nilson Martinez-Lopez</t>
        </is>
      </c>
      <c r="E32" s="33" t="inlineStr">
        <is>
          <t>Y</t>
        </is>
      </c>
      <c r="F32" s="30" t="n">
        <v>0</v>
      </c>
      <c r="G32" s="30" t="n">
        <v>0</v>
      </c>
      <c r="H32" s="30" t="n">
        <v>0</v>
      </c>
      <c r="I32" s="30" t="n">
        <v>0</v>
      </c>
      <c r="J32" s="30" t="n"/>
      <c r="K32" s="30" t="n"/>
    </row>
    <row r="33" ht="15" customHeight="1" s="22">
      <c r="A33" s="30" t="n">
        <v>2</v>
      </c>
      <c r="B33" s="30" t="inlineStr">
        <is>
          <t>9/5/2026</t>
        </is>
      </c>
      <c r="C33" s="30" t="inlineStr">
        <is>
          <t>Virginia Valor</t>
        </is>
      </c>
      <c r="D33" s="33" t="inlineStr">
        <is>
          <t>Joseph Benitez Maldonado</t>
        </is>
      </c>
      <c r="E33" s="33" t="inlineStr">
        <is>
          <t>Y</t>
        </is>
      </c>
      <c r="F33" s="30" t="n">
        <v>0</v>
      </c>
      <c r="G33" s="30" t="n">
        <v>0</v>
      </c>
      <c r="H33" s="30" t="n">
        <v>0</v>
      </c>
      <c r="I33" s="30" t="n">
        <v>0</v>
      </c>
      <c r="J33" s="30" t="n"/>
      <c r="K33" s="30" t="n"/>
    </row>
    <row r="34" ht="15" customHeight="1" s="22">
      <c r="A34" s="30" t="n">
        <v>2</v>
      </c>
      <c r="B34" s="30" t="inlineStr">
        <is>
          <t>9/5/2026</t>
        </is>
      </c>
      <c r="C34" s="30" t="inlineStr">
        <is>
          <t>Virginia Valor</t>
        </is>
      </c>
      <c r="D34" s="33" t="inlineStr">
        <is>
          <t>Brayan Espinoza Canales</t>
        </is>
      </c>
      <c r="E34" s="33" t="inlineStr">
        <is>
          <t>Y</t>
        </is>
      </c>
      <c r="F34" s="30" t="n">
        <v>0</v>
      </c>
      <c r="G34" s="30" t="n">
        <v>0</v>
      </c>
      <c r="H34" s="30" t="n">
        <v>0</v>
      </c>
      <c r="I34" s="30" t="n">
        <v>0</v>
      </c>
      <c r="J34" s="30" t="n"/>
      <c r="K34" s="30" t="n"/>
    </row>
    <row r="35" ht="15" customHeight="1" s="22">
      <c r="A35" s="30" t="n">
        <v>3</v>
      </c>
      <c r="B35" s="30" t="inlineStr">
        <is>
          <t>9/6/2026</t>
        </is>
      </c>
      <c r="C35" s="30" t="inlineStr">
        <is>
          <t>SOCA Elite U16</t>
        </is>
      </c>
      <c r="D35" s="33" t="inlineStr">
        <is>
          <t>Matthew Bing</t>
        </is>
      </c>
      <c r="E35" s="33" t="inlineStr">
        <is>
          <t>Y</t>
        </is>
      </c>
      <c r="F35" s="30" t="n">
        <v>0</v>
      </c>
      <c r="G35" s="30" t="n">
        <v>0</v>
      </c>
      <c r="H35" s="30" t="n">
        <v>0</v>
      </c>
      <c r="I35" s="30" t="n">
        <v>0</v>
      </c>
      <c r="J35" s="30" t="n"/>
      <c r="K35" s="30" t="n"/>
    </row>
    <row r="36" ht="15" customHeight="1" s="22">
      <c r="A36" s="30" t="n">
        <v>3</v>
      </c>
      <c r="B36" s="30" t="inlineStr">
        <is>
          <t>9/6/2026</t>
        </is>
      </c>
      <c r="C36" s="30" t="inlineStr">
        <is>
          <t>SOCA Elite U16</t>
        </is>
      </c>
      <c r="D36" s="33" t="inlineStr">
        <is>
          <t>Josue Borja-Serrato</t>
        </is>
      </c>
      <c r="E36" s="33" t="inlineStr">
        <is>
          <t>Y</t>
        </is>
      </c>
      <c r="F36" s="30" t="n">
        <v>0</v>
      </c>
      <c r="G36" s="30" t="n">
        <v>0</v>
      </c>
      <c r="H36" s="30" t="n">
        <v>0</v>
      </c>
      <c r="I36" s="30" t="n">
        <v>0</v>
      </c>
      <c r="J36" s="30" t="n"/>
      <c r="K36" s="30" t="n"/>
    </row>
    <row r="37" ht="15" customHeight="1" s="22">
      <c r="A37" s="30" t="n">
        <v>3</v>
      </c>
      <c r="B37" s="30" t="inlineStr">
        <is>
          <t>9/6/2026</t>
        </is>
      </c>
      <c r="C37" s="30" t="inlineStr">
        <is>
          <t>SOCA Elite U16</t>
        </is>
      </c>
      <c r="D37" s="33" t="inlineStr">
        <is>
          <t>Fionn Criscione</t>
        </is>
      </c>
      <c r="E37" s="33" t="inlineStr">
        <is>
          <t>Y</t>
        </is>
      </c>
      <c r="F37" s="30" t="n">
        <v>0</v>
      </c>
      <c r="G37" s="30" t="n">
        <v>0</v>
      </c>
      <c r="H37" s="30" t="n">
        <v>0</v>
      </c>
      <c r="I37" s="30" t="n">
        <v>0</v>
      </c>
      <c r="J37" s="30" t="n"/>
      <c r="K37" s="30" t="n"/>
    </row>
    <row r="38" ht="15" customHeight="1" s="22">
      <c r="A38" s="30" t="n">
        <v>3</v>
      </c>
      <c r="B38" s="30" t="inlineStr">
        <is>
          <t>9/6/2026</t>
        </is>
      </c>
      <c r="C38" s="30" t="inlineStr">
        <is>
          <t>SOCA Elite U16</t>
        </is>
      </c>
      <c r="D38" s="33" t="inlineStr">
        <is>
          <t>Jefferson Gonzalez-Nolasco</t>
        </is>
      </c>
      <c r="E38" s="33" t="inlineStr">
        <is>
          <t>Y</t>
        </is>
      </c>
      <c r="F38" s="30" t="n">
        <v>0</v>
      </c>
      <c r="G38" s="30" t="n">
        <v>0</v>
      </c>
      <c r="H38" s="30" t="n">
        <v>0</v>
      </c>
      <c r="I38" s="30" t="n">
        <v>0</v>
      </c>
      <c r="J38" s="30" t="n"/>
      <c r="K38" s="30" t="n"/>
    </row>
    <row r="39" ht="15" customHeight="1" s="22">
      <c r="A39" s="30" t="n">
        <v>3</v>
      </c>
      <c r="B39" s="30" t="inlineStr">
        <is>
          <t>9/6/2026</t>
        </is>
      </c>
      <c r="C39" s="30" t="inlineStr">
        <is>
          <t>SOCA Elite U16</t>
        </is>
      </c>
      <c r="D39" s="33" t="inlineStr">
        <is>
          <t>Weston Hash</t>
        </is>
      </c>
      <c r="E39" s="33" t="inlineStr">
        <is>
          <t>Y</t>
        </is>
      </c>
      <c r="F39" s="30" t="n">
        <v>0</v>
      </c>
      <c r="G39" s="30" t="n">
        <v>0</v>
      </c>
      <c r="H39" s="30" t="n">
        <v>0</v>
      </c>
      <c r="I39" s="30" t="n">
        <v>0</v>
      </c>
      <c r="J39" s="30" t="n"/>
      <c r="K39" s="30" t="n"/>
    </row>
    <row r="40" ht="15" customHeight="1" s="22">
      <c r="A40" s="30" t="n">
        <v>3</v>
      </c>
      <c r="B40" s="30" t="inlineStr">
        <is>
          <t>9/6/2026</t>
        </is>
      </c>
      <c r="C40" s="30" t="inlineStr">
        <is>
          <t>SOCA Elite U16</t>
        </is>
      </c>
      <c r="D40" s="33" t="inlineStr">
        <is>
          <t>Zaden Bandy</t>
        </is>
      </c>
      <c r="E40" s="33" t="inlineStr">
        <is>
          <t>Y</t>
        </is>
      </c>
      <c r="F40" s="30" t="n">
        <v>0</v>
      </c>
      <c r="G40" s="30" t="n">
        <v>0</v>
      </c>
      <c r="H40" s="30" t="n">
        <v>0</v>
      </c>
      <c r="I40" s="30" t="n">
        <v>0</v>
      </c>
      <c r="J40" s="30" t="n"/>
      <c r="K40" s="30" t="n"/>
    </row>
    <row r="41" ht="15" customHeight="1" s="22">
      <c r="A41" s="30" t="n">
        <v>3</v>
      </c>
      <c r="B41" s="30" t="inlineStr">
        <is>
          <t>9/6/2026</t>
        </is>
      </c>
      <c r="C41" s="30" t="inlineStr">
        <is>
          <t>SOCA Elite U16</t>
        </is>
      </c>
      <c r="D41" s="33" t="inlineStr">
        <is>
          <t>Vinny Machan</t>
        </is>
      </c>
      <c r="E41" s="33" t="inlineStr">
        <is>
          <t>Y</t>
        </is>
      </c>
      <c r="F41" s="30" t="n">
        <v>0</v>
      </c>
      <c r="G41" s="30" t="n">
        <v>0</v>
      </c>
      <c r="H41" s="30" t="n">
        <v>0</v>
      </c>
      <c r="I41" s="30" t="n">
        <v>0</v>
      </c>
      <c r="J41" s="30" t="n"/>
      <c r="K41" s="30" t="n"/>
    </row>
    <row r="42" ht="15" customHeight="1" s="22">
      <c r="A42" s="30" t="n">
        <v>3</v>
      </c>
      <c r="B42" s="30" t="inlineStr">
        <is>
          <t>9/6/2026</t>
        </is>
      </c>
      <c r="C42" s="30" t="inlineStr">
        <is>
          <t>SOCA Elite U16</t>
        </is>
      </c>
      <c r="D42" s="33" t="inlineStr">
        <is>
          <t>Landon Shaver</t>
        </is>
      </c>
      <c r="E42" s="33" t="inlineStr">
        <is>
          <t>Y</t>
        </is>
      </c>
      <c r="F42" s="30" t="n">
        <v>0</v>
      </c>
      <c r="G42" s="30" t="n">
        <v>0</v>
      </c>
      <c r="H42" s="30" t="n">
        <v>0</v>
      </c>
      <c r="I42" s="30" t="n">
        <v>0</v>
      </c>
      <c r="J42" s="30" t="n"/>
      <c r="K42" s="30" t="n"/>
    </row>
    <row r="43" ht="15" customHeight="1" s="22">
      <c r="A43" s="30" t="n">
        <v>3</v>
      </c>
      <c r="B43" s="30" t="inlineStr">
        <is>
          <t>9/6/2026</t>
        </is>
      </c>
      <c r="C43" s="30" t="inlineStr">
        <is>
          <t>SOCA Elite U16</t>
        </is>
      </c>
      <c r="D43" s="33" t="inlineStr">
        <is>
          <t>Yousaf Hussain Khil</t>
        </is>
      </c>
      <c r="E43" s="33" t="inlineStr">
        <is>
          <t>Y</t>
        </is>
      </c>
      <c r="F43" s="30" t="n">
        <v>0</v>
      </c>
      <c r="G43" s="30" t="n">
        <v>0</v>
      </c>
      <c r="H43" s="30" t="n">
        <v>0</v>
      </c>
      <c r="I43" s="30" t="n">
        <v>0</v>
      </c>
      <c r="J43" s="30" t="n"/>
      <c r="K43" s="30" t="n"/>
    </row>
    <row r="44" ht="15" customHeight="1" s="22">
      <c r="A44" s="30" t="n">
        <v>3</v>
      </c>
      <c r="B44" s="30" t="inlineStr">
        <is>
          <t>9/6/2026</t>
        </is>
      </c>
      <c r="C44" s="30" t="inlineStr">
        <is>
          <t>SOCA Elite U16</t>
        </is>
      </c>
      <c r="D44" s="33" t="inlineStr">
        <is>
          <t>Nilson Martinez-Lopez</t>
        </is>
      </c>
      <c r="E44" s="33" t="inlineStr">
        <is>
          <t>Y</t>
        </is>
      </c>
      <c r="F44" s="30" t="n">
        <v>0</v>
      </c>
      <c r="G44" s="30" t="n">
        <v>0</v>
      </c>
      <c r="H44" s="30" t="n">
        <v>0</v>
      </c>
      <c r="I44" s="30" t="n">
        <v>0</v>
      </c>
      <c r="J44" s="30" t="n"/>
      <c r="K44" s="30" t="n"/>
    </row>
    <row r="45" ht="15" customHeight="1" s="22">
      <c r="A45" s="30" t="n">
        <v>3</v>
      </c>
      <c r="B45" s="30" t="inlineStr">
        <is>
          <t>9/6/2026</t>
        </is>
      </c>
      <c r="C45" s="30" t="inlineStr">
        <is>
          <t>SOCA Elite U16</t>
        </is>
      </c>
      <c r="D45" s="33" t="inlineStr">
        <is>
          <t>Joseph Benitez Maldonado</t>
        </is>
      </c>
      <c r="E45" s="33" t="inlineStr">
        <is>
          <t>Y</t>
        </is>
      </c>
      <c r="F45" s="30" t="n">
        <v>0</v>
      </c>
      <c r="G45" s="30" t="n">
        <v>0</v>
      </c>
      <c r="H45" s="30" t="n">
        <v>0</v>
      </c>
      <c r="I45" s="30" t="n">
        <v>0</v>
      </c>
      <c r="J45" s="30" t="n"/>
      <c r="K45" s="30" t="n"/>
    </row>
    <row r="46" ht="15" customHeight="1" s="22">
      <c r="A46" s="30" t="n">
        <v>3</v>
      </c>
      <c r="B46" s="30" t="inlineStr">
        <is>
          <t>9/6/2026</t>
        </is>
      </c>
      <c r="C46" s="30" t="inlineStr">
        <is>
          <t>SOCA Elite U16</t>
        </is>
      </c>
      <c r="D46" s="33" t="inlineStr">
        <is>
          <t>Brayan Espinoza Canales</t>
        </is>
      </c>
      <c r="E46" s="33" t="inlineStr">
        <is>
          <t>Y</t>
        </is>
      </c>
      <c r="F46" s="30" t="n">
        <v>0</v>
      </c>
      <c r="G46" s="30" t="n">
        <v>0</v>
      </c>
      <c r="H46" s="30" t="n">
        <v>0</v>
      </c>
      <c r="I46" s="30" t="n">
        <v>0</v>
      </c>
      <c r="J46" s="30" t="n"/>
      <c r="K46" s="30" t="n"/>
    </row>
    <row r="47" ht="15" customHeight="1" s="22">
      <c r="A47" s="30" t="n">
        <v>4</v>
      </c>
      <c r="B47" s="30" t="inlineStr">
        <is>
          <t>9/12/2026</t>
        </is>
      </c>
      <c r="C47" s="30" t="inlineStr">
        <is>
          <t>Augusta United</t>
        </is>
      </c>
      <c r="D47" s="33" t="inlineStr">
        <is>
          <t>Evan Arenas</t>
        </is>
      </c>
      <c r="E47" s="33" t="inlineStr">
        <is>
          <t>Y</t>
        </is>
      </c>
      <c r="F47" s="30" t="n">
        <v>0</v>
      </c>
      <c r="G47" s="30" t="n">
        <v>0</v>
      </c>
      <c r="H47" s="30" t="n">
        <v>0</v>
      </c>
      <c r="I47" s="30" t="n">
        <v>0</v>
      </c>
      <c r="J47" s="30" t="n"/>
      <c r="K47" s="30" t="n"/>
    </row>
    <row r="48" ht="15" customHeight="1" s="22">
      <c r="A48" s="30" t="n">
        <v>4</v>
      </c>
      <c r="B48" s="30" t="inlineStr">
        <is>
          <t>9/12/2026</t>
        </is>
      </c>
      <c r="C48" s="30" t="inlineStr">
        <is>
          <t>Augusta United</t>
        </is>
      </c>
      <c r="D48" s="33" t="inlineStr">
        <is>
          <t>Josue Borja-Serrato</t>
        </is>
      </c>
      <c r="E48" s="33" t="inlineStr">
        <is>
          <t>Y</t>
        </is>
      </c>
      <c r="F48" s="30" t="n">
        <v>0</v>
      </c>
      <c r="G48" s="30" t="n">
        <v>0</v>
      </c>
      <c r="H48" s="30" t="n">
        <v>0</v>
      </c>
      <c r="I48" s="30" t="n">
        <v>0</v>
      </c>
      <c r="J48" s="30" t="n"/>
      <c r="K48" s="30" t="n"/>
    </row>
    <row r="49" ht="15" customHeight="1" s="22">
      <c r="A49" s="30" t="n">
        <v>4</v>
      </c>
      <c r="B49" s="30" t="inlineStr">
        <is>
          <t>9/12/2026</t>
        </is>
      </c>
      <c r="C49" s="30" t="inlineStr">
        <is>
          <t>Augusta United</t>
        </is>
      </c>
      <c r="D49" s="33" t="inlineStr">
        <is>
          <t>Fionn Criscione</t>
        </is>
      </c>
      <c r="E49" s="33" t="inlineStr">
        <is>
          <t>Y</t>
        </is>
      </c>
      <c r="F49" s="30" t="n">
        <v>0</v>
      </c>
      <c r="G49" s="30" t="n">
        <v>0</v>
      </c>
      <c r="H49" s="30" t="n">
        <v>0</v>
      </c>
      <c r="I49" s="30" t="n">
        <v>0</v>
      </c>
      <c r="J49" s="30" t="n"/>
      <c r="K49" s="30" t="n"/>
    </row>
    <row r="50" ht="15" customHeight="1" s="22">
      <c r="A50" s="30" t="n">
        <v>4</v>
      </c>
      <c r="B50" s="30" t="inlineStr">
        <is>
          <t>9/12/2026</t>
        </is>
      </c>
      <c r="C50" s="30" t="inlineStr">
        <is>
          <t>Augusta United</t>
        </is>
      </c>
      <c r="D50" s="33" t="inlineStr">
        <is>
          <t>Caleb Eccles</t>
        </is>
      </c>
      <c r="E50" s="33" t="inlineStr">
        <is>
          <t>Y</t>
        </is>
      </c>
      <c r="F50" s="30" t="n">
        <v>0</v>
      </c>
      <c r="G50" s="30" t="n">
        <v>0</v>
      </c>
      <c r="H50" s="30" t="n">
        <v>0</v>
      </c>
      <c r="I50" s="30" t="n">
        <v>0</v>
      </c>
      <c r="J50" s="30" t="n"/>
      <c r="K50" s="30" t="n"/>
    </row>
    <row r="51" ht="15" customHeight="1" s="22">
      <c r="A51" s="30" t="n">
        <v>4</v>
      </c>
      <c r="B51" s="30" t="inlineStr">
        <is>
          <t>9/12/2026</t>
        </is>
      </c>
      <c r="C51" s="30" t="inlineStr">
        <is>
          <t>Augusta United</t>
        </is>
      </c>
      <c r="D51" s="33" t="inlineStr">
        <is>
          <t>Jefferson Gonzalez-Nolasco</t>
        </is>
      </c>
      <c r="E51" s="33" t="inlineStr">
        <is>
          <t>Y</t>
        </is>
      </c>
      <c r="F51" s="30" t="n">
        <v>0</v>
      </c>
      <c r="G51" s="30" t="n">
        <v>0</v>
      </c>
      <c r="H51" s="30" t="n">
        <v>0</v>
      </c>
      <c r="I51" s="30" t="n">
        <v>0</v>
      </c>
      <c r="J51" s="30" t="n"/>
      <c r="K51" s="30" t="n"/>
    </row>
    <row r="52" ht="15" customHeight="1" s="22">
      <c r="A52" s="30" t="n">
        <v>4</v>
      </c>
      <c r="B52" s="30" t="inlineStr">
        <is>
          <t>9/12/2026</t>
        </is>
      </c>
      <c r="C52" s="30" t="inlineStr">
        <is>
          <t>Augusta United</t>
        </is>
      </c>
      <c r="D52" s="33" t="inlineStr">
        <is>
          <t>Vinny Machan</t>
        </is>
      </c>
      <c r="E52" s="33" t="inlineStr">
        <is>
          <t>Y</t>
        </is>
      </c>
      <c r="F52" s="30" t="n">
        <v>0</v>
      </c>
      <c r="G52" s="30" t="n">
        <v>0</v>
      </c>
      <c r="H52" s="30" t="n">
        <v>0</v>
      </c>
      <c r="I52" s="30" t="n">
        <v>0</v>
      </c>
      <c r="J52" s="30" t="n"/>
      <c r="K52" s="30" t="n"/>
    </row>
    <row r="53" ht="15" customHeight="1" s="22">
      <c r="A53" s="30" t="n">
        <v>4</v>
      </c>
      <c r="B53" s="30" t="inlineStr">
        <is>
          <t>9/12/2026</t>
        </is>
      </c>
      <c r="C53" s="30" t="inlineStr">
        <is>
          <t>Augusta United</t>
        </is>
      </c>
      <c r="D53" s="33" t="inlineStr">
        <is>
          <t>Jackson Mills</t>
        </is>
      </c>
      <c r="E53" s="33" t="inlineStr">
        <is>
          <t>Y</t>
        </is>
      </c>
      <c r="F53" s="30" t="n">
        <v>0</v>
      </c>
      <c r="G53" s="30" t="n">
        <v>0</v>
      </c>
      <c r="H53" s="30" t="n">
        <v>0</v>
      </c>
      <c r="I53" s="30" t="n">
        <v>0</v>
      </c>
      <c r="J53" s="30" t="n"/>
      <c r="K53" s="30" t="n"/>
    </row>
    <row r="54" ht="15" customHeight="1" s="22">
      <c r="A54" s="30" t="n">
        <v>4</v>
      </c>
      <c r="B54" s="30" t="inlineStr">
        <is>
          <t>9/12/2026</t>
        </is>
      </c>
      <c r="C54" s="30" t="inlineStr">
        <is>
          <t>Augusta United</t>
        </is>
      </c>
      <c r="D54" s="33" t="inlineStr">
        <is>
          <t>Nilson Martinez-Lopez</t>
        </is>
      </c>
      <c r="E54" s="33" t="inlineStr">
        <is>
          <t>Y</t>
        </is>
      </c>
      <c r="F54" s="30" t="n">
        <v>0</v>
      </c>
      <c r="G54" s="30" t="n">
        <v>0</v>
      </c>
      <c r="H54" s="30" t="n">
        <v>0</v>
      </c>
      <c r="I54" s="30" t="n">
        <v>0</v>
      </c>
      <c r="J54" s="30" t="n"/>
      <c r="K54" s="30" t="n"/>
    </row>
    <row r="55" ht="15" customHeight="1" s="22">
      <c r="A55" s="30" t="n">
        <v>4</v>
      </c>
      <c r="B55" s="30" t="inlineStr">
        <is>
          <t>9/12/2026</t>
        </is>
      </c>
      <c r="C55" s="30" t="inlineStr">
        <is>
          <t>Augusta United</t>
        </is>
      </c>
      <c r="D55" s="33" t="inlineStr">
        <is>
          <t>Brayan Espinoza Canales</t>
        </is>
      </c>
      <c r="E55" s="33" t="inlineStr">
        <is>
          <t>N</t>
        </is>
      </c>
      <c r="F55" s="30" t="n">
        <v>0</v>
      </c>
      <c r="G55" s="30" t="n">
        <v>0</v>
      </c>
      <c r="H55" s="30" t="n">
        <v>0</v>
      </c>
      <c r="I55" s="30" t="n">
        <v>0</v>
      </c>
      <c r="J55" s="30" t="n"/>
      <c r="K55" s="30" t="n"/>
    </row>
    <row r="56" ht="15" customHeight="1" s="22">
      <c r="A56" s="34" t="n">
        <v>7</v>
      </c>
      <c r="B56" s="34" t="inlineStr">
        <is>
          <t>9/26/2026</t>
        </is>
      </c>
      <c r="C56" s="34" t="inlineStr">
        <is>
          <t>SOCA U16 Boys Blue</t>
        </is>
      </c>
      <c r="D56" s="34" t="inlineStr">
        <is>
          <t>Evan Mercer</t>
        </is>
      </c>
      <c r="E56" s="34" t="inlineStr">
        <is>
          <t>Y</t>
        </is>
      </c>
      <c r="F56" s="34" t="n">
        <v>1</v>
      </c>
      <c r="G56" s="34" t="n">
        <v>0</v>
      </c>
      <c r="H56" s="34" t="n">
        <v>0</v>
      </c>
      <c r="I56" s="34" t="n">
        <v>0</v>
      </c>
      <c r="J56" s="34" t="n"/>
      <c r="K56" s="34" t="n"/>
    </row>
    <row r="57" ht="15" customHeight="1" s="22">
      <c r="A57" s="34" t="n">
        <v>7</v>
      </c>
      <c r="B57" s="34" t="inlineStr">
        <is>
          <t>9/26/2026</t>
        </is>
      </c>
      <c r="C57" s="34" t="inlineStr">
        <is>
          <t>SOCA U16 Boys Blue</t>
        </is>
      </c>
      <c r="D57" s="34" t="inlineStr">
        <is>
          <t>Fionn Criscione</t>
        </is>
      </c>
      <c r="E57" s="34" t="inlineStr">
        <is>
          <t>Y</t>
        </is>
      </c>
      <c r="F57" s="34" t="n">
        <v>0</v>
      </c>
      <c r="G57" s="34" t="n">
        <v>1</v>
      </c>
      <c r="H57" s="34" t="n">
        <v>0</v>
      </c>
      <c r="I57" s="34" t="n">
        <v>0</v>
      </c>
      <c r="J57" s="34" t="n"/>
      <c r="K57" s="34" t="n"/>
    </row>
    <row r="58" ht="15" customHeight="1" s="22">
      <c r="A58" s="34" t="n">
        <v>7</v>
      </c>
      <c r="B58" s="34" t="inlineStr">
        <is>
          <t>9/26/2026</t>
        </is>
      </c>
      <c r="C58" s="34" t="inlineStr">
        <is>
          <t>SOCA U16 Boys Blue</t>
        </is>
      </c>
      <c r="D58" s="34" t="inlineStr">
        <is>
          <t>Caleb Eccles</t>
        </is>
      </c>
      <c r="E58" s="34" t="inlineStr">
        <is>
          <t>Y</t>
        </is>
      </c>
      <c r="F58" s="34" t="n">
        <v>0</v>
      </c>
      <c r="G58" s="34" t="n">
        <v>0</v>
      </c>
      <c r="H58" s="34" t="n">
        <v>0</v>
      </c>
      <c r="I58" s="34" t="n">
        <v>0</v>
      </c>
      <c r="J58" s="34" t="n"/>
      <c r="K58" s="34" t="n">
        <v>0</v>
      </c>
    </row>
    <row r="59" ht="15" customHeight="1" s="22">
      <c r="A59" s="34" t="n">
        <v>7</v>
      </c>
      <c r="B59" s="34" t="inlineStr">
        <is>
          <t>9/26/2026</t>
        </is>
      </c>
      <c r="C59" s="34" t="inlineStr">
        <is>
          <t>SOCA U16 Boys Blue</t>
        </is>
      </c>
      <c r="D59" s="34" t="inlineStr">
        <is>
          <t>Jackson Mills</t>
        </is>
      </c>
      <c r="E59" s="34" t="inlineStr">
        <is>
          <t>Y</t>
        </is>
      </c>
      <c r="F59" s="34" t="n">
        <v>0</v>
      </c>
      <c r="G59" s="34" t="n">
        <v>0</v>
      </c>
      <c r="H59" s="34" t="n">
        <v>0</v>
      </c>
      <c r="I59" s="34" t="n">
        <v>0</v>
      </c>
      <c r="J59" s="34" t="n"/>
      <c r="K59" s="34" t="n">
        <v>1</v>
      </c>
    </row>
    <row r="60" ht="15" customHeight="1" s="22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</row>
    <row r="61" ht="15" customHeight="1" s="22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</row>
    <row r="62" ht="15" customHeight="1" s="22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</row>
    <row r="63" ht="15" customHeight="1" s="22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</row>
    <row r="64" ht="15" customHeight="1" s="22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</row>
    <row r="65" ht="15" customHeight="1" s="22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</row>
    <row r="66" ht="15" customHeight="1" s="22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</row>
    <row r="67" ht="15" customHeight="1" s="22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</row>
    <row r="68" ht="15" customHeight="1" s="22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</row>
    <row r="69" ht="15" customHeight="1" s="22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</row>
    <row r="70" ht="15" customHeight="1" s="22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</row>
    <row r="71" ht="15" customHeight="1" s="22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</row>
    <row r="72" ht="15" customHeight="1" s="22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</row>
    <row r="73" ht="15" customHeight="1" s="22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</row>
    <row r="74" ht="15" customHeight="1" s="22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</row>
    <row r="75" ht="15" customHeight="1" s="22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</row>
    <row r="76" ht="15" customHeight="1" s="22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</row>
    <row r="77" ht="15" customHeight="1" s="22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</row>
    <row r="78" ht="15" customHeight="1" s="22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</row>
    <row r="79" ht="15" customHeight="1" s="22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</row>
    <row r="80" ht="15" customHeight="1" s="22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</row>
    <row r="81" ht="15" customHeight="1" s="22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</row>
    <row r="82" ht="15" customHeight="1" s="22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</row>
    <row r="83" ht="15" customHeight="1" s="22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</row>
    <row r="84" ht="15" customHeight="1" s="22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</row>
    <row r="85" ht="15" customHeight="1" s="22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</row>
    <row r="86" ht="15" customHeight="1" s="22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</row>
    <row r="87" ht="15" customHeight="1" s="22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</row>
    <row r="88" ht="15" customHeight="1" s="22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</row>
    <row r="89" ht="15" customHeight="1" s="22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</row>
    <row r="90" ht="15" customHeight="1" s="22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</row>
    <row r="91" ht="15" customHeight="1" s="22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</row>
    <row r="92" ht="15" customHeight="1" s="22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</row>
    <row r="93" ht="15" customHeight="1" s="22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</row>
    <row r="94" ht="15" customHeight="1" s="22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</row>
    <row r="95" ht="15" customHeight="1" s="22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</row>
    <row r="96" ht="15" customHeight="1" s="22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</row>
    <row r="97" ht="15" customHeight="1" s="22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</row>
    <row r="98" ht="15" customHeight="1" s="22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</row>
    <row r="99" ht="15" customHeight="1" s="22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</row>
    <row r="100" ht="15" customHeight="1" s="22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</row>
    <row r="101" ht="15" customHeight="1" s="22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</row>
    <row r="102" ht="15" customHeight="1" s="22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</row>
    <row r="103" ht="15" customHeight="1" s="22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</row>
    <row r="104" ht="15" customHeight="1" s="22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</row>
    <row r="105" ht="15" customHeight="1" s="22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</row>
    <row r="106" ht="15" customHeight="1" s="22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</row>
    <row r="107" ht="15" customHeight="1" s="22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</row>
    <row r="108" ht="15" customHeight="1" s="22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</row>
    <row r="109" ht="15" customHeight="1" s="22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</row>
    <row r="110" ht="15" customHeight="1" s="22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</row>
    <row r="111" ht="15" customHeight="1" s="22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</row>
    <row r="112" ht="15" customHeight="1" s="22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</row>
    <row r="113" ht="15" customHeight="1" s="22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</row>
    <row r="114" ht="15" customHeight="1" s="22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</row>
    <row r="115" ht="15" customHeight="1" s="22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</row>
    <row r="116" ht="15" customHeight="1" s="22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</row>
    <row r="117" ht="15" customHeight="1" s="22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</row>
    <row r="118" ht="15" customHeight="1" s="22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</row>
    <row r="119" ht="15" customHeight="1" s="22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</row>
    <row r="120" ht="15" customHeight="1" s="22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</row>
    <row r="121" ht="15" customHeight="1" s="22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</row>
    <row r="122" ht="15" customHeight="1" s="22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</row>
    <row r="123" ht="15" customHeight="1" s="22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</row>
    <row r="124" ht="15" customHeight="1" s="22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</row>
    <row r="125" ht="15" customHeight="1" s="22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</row>
    <row r="126" ht="15" customHeight="1" s="22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</row>
    <row r="127" ht="15" customHeight="1" s="22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</row>
    <row r="128" ht="15" customHeight="1" s="22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</row>
    <row r="129" ht="15" customHeight="1" s="22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</row>
    <row r="130" ht="15" customHeight="1" s="22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</row>
    <row r="131" ht="15" customHeight="1" s="22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</row>
    <row r="132" ht="15" customHeight="1" s="22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</row>
    <row r="133" ht="15" customHeight="1" s="22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</row>
    <row r="134" ht="15" customHeight="1" s="22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</row>
    <row r="135" ht="15" customHeight="1" s="22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</row>
    <row r="136" ht="15" customHeight="1" s="22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</row>
    <row r="137" ht="15" customHeight="1" s="22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</row>
    <row r="138" ht="15" customHeight="1" s="22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</row>
    <row r="139" ht="15" customHeight="1" s="22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</row>
    <row r="140" ht="15" customHeight="1" s="22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</row>
    <row r="141" ht="15" customHeight="1" s="22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</row>
    <row r="142" ht="15" customHeight="1" s="22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</row>
    <row r="143" ht="15" customHeight="1" s="22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</row>
    <row r="144" ht="15" customHeight="1" s="22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</row>
    <row r="145" ht="15" customHeight="1" s="22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</row>
    <row r="146" ht="15" customHeight="1" s="22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</row>
    <row r="147" ht="15" customHeight="1" s="22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</row>
    <row r="148" ht="15" customHeight="1" s="22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</row>
    <row r="149" ht="15" customHeight="1" s="22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</row>
    <row r="150" ht="15" customHeight="1" s="22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</row>
    <row r="151" ht="15" customHeight="1" s="22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</row>
    <row r="152" ht="15" customHeight="1" s="22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</row>
    <row r="153" ht="15" customHeight="1" s="22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</row>
    <row r="154" ht="15" customHeight="1" s="22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</row>
    <row r="155" ht="15" customHeight="1" s="22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</row>
    <row r="156" ht="15" customHeight="1" s="22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</row>
    <row r="157" ht="15" customHeight="1" s="22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</row>
    <row r="158" ht="15" customHeight="1" s="22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</row>
    <row r="159" ht="15" customHeight="1" s="22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</row>
    <row r="160" ht="15" customHeight="1" s="22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</row>
    <row r="161" ht="15" customHeight="1" s="22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</row>
    <row r="162" ht="15" customHeight="1" s="22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</row>
    <row r="163" ht="15" customHeight="1" s="22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</row>
    <row r="164" ht="15" customHeight="1" s="22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</row>
    <row r="165" ht="15" customHeight="1" s="22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</row>
    <row r="166" ht="15" customHeight="1" s="22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</row>
    <row r="167" ht="15" customHeight="1" s="22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</row>
    <row r="168" ht="15" customHeight="1" s="22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</row>
    <row r="169" ht="15" customHeight="1" s="22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</row>
    <row r="170" ht="15" customHeight="1" s="22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</row>
    <row r="171" ht="15" customHeight="1" s="22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</row>
    <row r="172" ht="15" customHeight="1" s="22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</row>
    <row r="173" ht="15" customHeight="1" s="22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</row>
    <row r="174" ht="15" customHeight="1" s="22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</row>
    <row r="175" ht="15" customHeight="1" s="22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</row>
    <row r="176" ht="15" customHeight="1" s="22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</row>
    <row r="177" ht="15" customHeight="1" s="22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</row>
    <row r="178" ht="15" customHeight="1" s="22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</row>
    <row r="179" ht="15" customHeight="1" s="22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</row>
    <row r="180" ht="15" customHeight="1" s="22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</row>
    <row r="181" ht="15" customHeight="1" s="22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</row>
    <row r="182" ht="15" customHeight="1" s="22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</row>
    <row r="183" ht="15" customHeight="1" s="22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</row>
    <row r="184" ht="15" customHeight="1" s="22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</row>
    <row r="185" ht="15" customHeight="1" s="22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</row>
    <row r="186" ht="15" customHeight="1" s="22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</row>
    <row r="187" ht="15" customHeight="1" s="22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</row>
    <row r="188" ht="15" customHeight="1" s="22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</row>
    <row r="189" ht="15" customHeight="1" s="22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</row>
    <row r="190" ht="15" customHeight="1" s="22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</row>
    <row r="191" ht="15" customHeight="1" s="22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</row>
    <row r="192" ht="15" customHeight="1" s="22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</row>
    <row r="193" ht="15" customHeight="1" s="22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</row>
    <row r="194" ht="15" customHeight="1" s="22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</row>
    <row r="195" ht="15" customHeight="1" s="22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</row>
    <row r="196" ht="15" customHeight="1" s="22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</row>
    <row r="197" ht="15" customHeight="1" s="22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</row>
    <row r="198" ht="15" customHeight="1" s="22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</row>
    <row r="199" ht="15" customHeight="1" s="22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</row>
    <row r="200" ht="15" customHeight="1" s="22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</row>
    <row r="201" ht="15" customHeight="1" s="22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</row>
    <row r="202" ht="15" customHeight="1" s="2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</row>
    <row r="203" ht="15" customHeight="1" s="22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</row>
    <row r="204" ht="15" customHeight="1" s="22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</row>
    <row r="205" ht="15" customHeight="1" s="22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</row>
    <row r="206" ht="15" customHeight="1" s="22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</row>
    <row r="207" ht="15" customHeight="1" s="22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</row>
    <row r="208" ht="15" customHeight="1" s="22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</row>
    <row r="209" ht="15" customHeight="1" s="22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</row>
    <row r="210" ht="15" customHeight="1" s="22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</row>
    <row r="211" ht="15" customHeight="1" s="22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</row>
    <row r="212" ht="15" customHeight="1" s="2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</row>
    <row r="213" ht="15" customHeight="1" s="22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</row>
    <row r="214" ht="15" customHeight="1" s="22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</row>
    <row r="215" ht="15" customHeight="1" s="22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</row>
    <row r="216" ht="15" customHeight="1" s="22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</row>
    <row r="217" ht="15" customHeight="1" s="22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</row>
    <row r="218" ht="15" customHeight="1" s="22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</row>
    <row r="219" ht="15" customHeight="1" s="22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</row>
    <row r="220" ht="15" customHeight="1" s="22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</row>
    <row r="221" ht="15" customHeight="1" s="22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</row>
    <row r="222" ht="15" customHeight="1" s="2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</row>
    <row r="223" ht="15" customHeight="1" s="22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</row>
    <row r="224" ht="15" customHeight="1" s="22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</row>
    <row r="225" ht="15" customHeight="1" s="22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</row>
    <row r="226" ht="15" customHeight="1" s="22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</row>
    <row r="227" ht="15" customHeight="1" s="22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</row>
    <row r="228" ht="15" customHeight="1" s="22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</row>
    <row r="229" ht="15" customHeight="1" s="22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</row>
    <row r="230" ht="15" customHeight="1" s="22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</row>
    <row r="231" ht="15" customHeight="1" s="22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</row>
    <row r="232" ht="15" customHeight="1" s="2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</row>
    <row r="233" ht="15" customHeight="1" s="22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</row>
    <row r="234" ht="15" customHeight="1" s="22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</row>
    <row r="235" ht="15" customHeight="1" s="22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</row>
    <row r="236" ht="15" customHeight="1" s="22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</row>
    <row r="237" ht="15" customHeight="1" s="22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</row>
    <row r="238" ht="15" customHeight="1" s="22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</row>
    <row r="239" ht="15" customHeight="1" s="22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</row>
    <row r="240" ht="15" customHeight="1" s="22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</row>
    <row r="241" ht="15" customHeight="1" s="22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</row>
    <row r="242" ht="15" customHeight="1" s="2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</row>
    <row r="243" ht="15" customHeight="1" s="22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</row>
    <row r="244" ht="15" customHeight="1" s="22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</row>
    <row r="245" ht="15" customHeight="1" s="22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</row>
    <row r="246" ht="15" customHeight="1" s="22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</row>
    <row r="247" ht="15" customHeight="1" s="22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</row>
    <row r="248" ht="15" customHeight="1" s="22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</row>
    <row r="249" ht="15" customHeight="1" s="22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</row>
    <row r="250" ht="15" customHeight="1" s="22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</row>
    <row r="251" ht="15" customHeight="1" s="22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</row>
    <row r="252" ht="15" customHeight="1" s="2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</row>
    <row r="253" ht="15" customHeight="1" s="22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</row>
    <row r="254" ht="15" customHeight="1" s="22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</row>
    <row r="255" ht="15" customHeight="1" s="22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</row>
    <row r="256" ht="15" customHeight="1" s="22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</row>
    <row r="257" ht="15" customHeight="1" s="22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</row>
    <row r="258" ht="15" customHeight="1" s="22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</row>
    <row r="259" ht="15" customHeight="1" s="22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</row>
    <row r="260" ht="15" customHeight="1" s="22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</row>
    <row r="261" ht="15" customHeight="1" s="22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</row>
    <row r="262" ht="15" customHeight="1" s="2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</row>
    <row r="263" ht="15" customHeight="1" s="22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</row>
    <row r="264" ht="15" customHeight="1" s="22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</row>
    <row r="265" ht="15" customHeight="1" s="22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</row>
    <row r="266" ht="15" customHeight="1" s="22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</row>
    <row r="267" ht="15" customHeight="1" s="22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</row>
    <row r="268" ht="15" customHeight="1" s="22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</row>
    <row r="269" ht="15" customHeight="1" s="22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</row>
    <row r="270" ht="15" customHeight="1" s="22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</row>
    <row r="271" ht="15" customHeight="1" s="22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</row>
    <row r="272" ht="15" customHeight="1" s="2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</row>
    <row r="273" ht="15" customHeight="1" s="22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</row>
    <row r="274" ht="15" customHeight="1" s="22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</row>
    <row r="275" ht="15" customHeight="1" s="22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</row>
    <row r="276" ht="15" customHeight="1" s="22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</row>
    <row r="277" ht="15" customHeight="1" s="22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</row>
    <row r="278" ht="15" customHeight="1" s="22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</row>
    <row r="279" ht="15" customHeight="1" s="22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</row>
    <row r="280" ht="15" customHeight="1" s="22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</row>
    <row r="281" ht="15" customHeight="1" s="22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</row>
    <row r="282" ht="15" customHeight="1" s="2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</row>
    <row r="283" ht="15" customHeight="1" s="22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</row>
    <row r="284" ht="15" customHeight="1" s="22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</row>
    <row r="285" ht="15" customHeight="1" s="22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</row>
    <row r="286" ht="15" customHeight="1" s="22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</row>
    <row r="287" ht="15" customHeight="1" s="22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</row>
    <row r="288" ht="15" customHeight="1" s="22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</row>
    <row r="289" ht="15" customHeight="1" s="22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</row>
    <row r="290" ht="15" customHeight="1" s="22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</row>
    <row r="291" ht="15" customHeight="1" s="22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</row>
    <row r="292" ht="15" customHeight="1" s="2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</row>
    <row r="293" ht="15" customHeight="1" s="22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</row>
    <row r="294" ht="15" customHeight="1" s="22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</row>
    <row r="295" ht="15" customHeight="1" s="22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</row>
    <row r="296" ht="15" customHeight="1" s="22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</row>
    <row r="297" ht="15" customHeight="1" s="22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</row>
    <row r="298" ht="15" customHeight="1" s="22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</row>
    <row r="299" ht="15" customHeight="1" s="22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</row>
    <row r="300" ht="15" customHeight="1" s="22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</row>
    <row r="301" ht="15" customHeight="1" s="22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</row>
    <row r="302" ht="15" customHeight="1" s="2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</row>
    <row r="303" ht="15" customHeight="1" s="22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</row>
    <row r="304" ht="15" customHeight="1" s="22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</row>
    <row r="305" ht="15" customHeight="1" s="22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</row>
    <row r="306" ht="15" customHeight="1" s="22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</row>
    <row r="307" ht="15" customHeight="1" s="22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</row>
    <row r="308" ht="15" customHeight="1" s="22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</row>
    <row r="309" ht="15" customHeight="1" s="22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</row>
    <row r="310" ht="15" customHeight="1" s="22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</row>
    <row r="311" ht="15" customHeight="1" s="22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</row>
    <row r="312" ht="15" customHeight="1" s="2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</row>
    <row r="313" ht="15" customHeight="1" s="22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</row>
    <row r="314" ht="15" customHeight="1" s="22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</row>
    <row r="315" ht="15" customHeight="1" s="22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</row>
    <row r="316" ht="15" customHeight="1" s="22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</row>
    <row r="317" ht="15" customHeight="1" s="22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</row>
    <row r="318" ht="15" customHeight="1" s="22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</row>
    <row r="319" ht="15" customHeight="1" s="22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</row>
    <row r="320" ht="15" customHeight="1" s="22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</row>
    <row r="321" ht="15" customHeight="1" s="22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</row>
    <row r="322" ht="15" customHeight="1" s="2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</row>
    <row r="323" ht="15" customHeight="1" s="22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</row>
    <row r="324" ht="15" customHeight="1" s="22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</row>
    <row r="325" ht="15" customHeight="1" s="22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</row>
    <row r="326" ht="15" customHeight="1" s="22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</row>
    <row r="327" ht="15" customHeight="1" s="22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</row>
    <row r="328" ht="15" customHeight="1" s="22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</row>
    <row r="329" ht="15" customHeight="1" s="22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</row>
    <row r="330" ht="15" customHeight="1" s="22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</row>
    <row r="331" ht="15" customHeight="1" s="22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</row>
    <row r="332" ht="15" customHeight="1" s="2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</row>
    <row r="333" ht="15" customHeight="1" s="22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</row>
    <row r="334" ht="15" customHeight="1" s="22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</row>
    <row r="335" ht="15" customHeight="1" s="22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</row>
    <row r="336" ht="15" customHeight="1" s="22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</row>
    <row r="337" ht="15" customHeight="1" s="22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</row>
    <row r="338" ht="15" customHeight="1" s="22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</row>
    <row r="339" ht="15" customHeight="1" s="22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</row>
    <row r="340" ht="15" customHeight="1" s="22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</row>
    <row r="341" ht="15" customHeight="1" s="22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</row>
    <row r="342" ht="15" customHeight="1" s="2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</row>
    <row r="343" ht="15" customHeight="1" s="22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</row>
    <row r="344" ht="15" customHeight="1" s="22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</row>
    <row r="345" ht="15" customHeight="1" s="22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</row>
    <row r="346" ht="15" customHeight="1" s="22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</row>
    <row r="347" ht="15" customHeight="1" s="22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</row>
    <row r="348" ht="15" customHeight="1" s="22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</row>
    <row r="349" ht="15" customHeight="1" s="22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</row>
    <row r="350" ht="15" customHeight="1" s="22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</row>
    <row r="351" ht="15" customHeight="1" s="22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</row>
    <row r="352" ht="15" customHeight="1" s="2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</row>
    <row r="353" ht="15" customHeight="1" s="22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</row>
    <row r="354" ht="15" customHeight="1" s="22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</row>
    <row r="355" ht="15" customHeight="1" s="22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</row>
    <row r="356" ht="15" customHeight="1" s="22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</row>
    <row r="357" ht="15" customHeight="1" s="22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</row>
    <row r="358" ht="15" customHeight="1" s="22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</row>
    <row r="359" ht="15" customHeight="1" s="22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</row>
    <row r="360" ht="15" customHeight="1" s="22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</row>
    <row r="361" ht="15" customHeight="1" s="22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</row>
    <row r="362" ht="15" customHeight="1" s="2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</row>
    <row r="363" ht="15" customHeight="1" s="22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</row>
    <row r="364" ht="15" customHeight="1" s="22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</row>
    <row r="365" ht="15" customHeight="1" s="22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</row>
    <row r="366" ht="15" customHeight="1" s="22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</row>
    <row r="367" ht="15" customHeight="1" s="22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</row>
    <row r="368" ht="15" customHeight="1" s="22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</row>
    <row r="369" ht="15" customHeight="1" s="22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</row>
    <row r="370" ht="15" customHeight="1" s="22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</row>
    <row r="371" ht="15" customHeight="1" s="22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</row>
    <row r="372" ht="15" customHeight="1" s="2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</row>
    <row r="373" ht="15" customHeight="1" s="22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</row>
    <row r="374" ht="15" customHeight="1" s="22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</row>
    <row r="375" ht="15" customHeight="1" s="22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</row>
    <row r="376" ht="15" customHeight="1" s="22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</row>
    <row r="377" ht="15" customHeight="1" s="22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</row>
    <row r="378" ht="15" customHeight="1" s="22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</row>
    <row r="379" ht="15" customHeight="1" s="22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</row>
    <row r="380" ht="15" customHeight="1" s="22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</row>
    <row r="381" ht="15" customHeight="1" s="22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</row>
    <row r="382" ht="15" customHeight="1" s="2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</row>
    <row r="383" ht="15" customHeight="1" s="22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</row>
    <row r="384" ht="15" customHeight="1" s="22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</row>
    <row r="385" ht="15" customHeight="1" s="22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</row>
    <row r="386" ht="15" customHeight="1" s="22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</row>
    <row r="387" ht="15" customHeight="1" s="22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</row>
    <row r="388" ht="15" customHeight="1" s="22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</row>
    <row r="389" ht="15" customHeight="1" s="22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</row>
    <row r="390" ht="15" customHeight="1" s="22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</row>
    <row r="391" ht="15" customHeight="1" s="22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</row>
    <row r="392" ht="15" customHeight="1" s="2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</row>
    <row r="393" ht="15" customHeight="1" s="22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</row>
    <row r="394" ht="15" customHeight="1" s="22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</row>
    <row r="395" ht="15" customHeight="1" s="22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</row>
    <row r="396" ht="15" customHeight="1" s="22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</row>
    <row r="397" ht="15" customHeight="1" s="22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</row>
    <row r="398" ht="15" customHeight="1" s="22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</row>
    <row r="399" ht="15" customHeight="1" s="22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</row>
    <row r="400" ht="15" customHeight="1" s="22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</row>
  </sheetData>
  <mergeCells count="2">
    <mergeCell ref="A2:K2"/>
    <mergeCell ref="A1:K1"/>
  </mergeCells>
  <dataValidations count="2">
    <dataValidation sqref="D5:D400" showDropDown="0" showInputMessage="0" showErrorMessage="0" allowBlank="1" type="list" errorStyle="stop" operator="between">
      <formula1>Roster!$B$4:$B$20</formula1>
      <formula2>0</formula2>
    </dataValidation>
    <dataValidation sqref="E5:E400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26" customWidth="1" style="21" min="2" max="2"/>
    <col width="13" customWidth="1" style="21" min="3" max="4"/>
    <col width="9" customWidth="1" style="21" min="5" max="6"/>
    <col width="12" customWidth="1" style="21" min="7" max="7"/>
    <col width="10" customWidth="1" style="21" min="8" max="8"/>
    <col width="9" customWidth="1" style="21" min="9" max="9"/>
    <col width="14" customWidth="1" style="21" min="10" max="10"/>
  </cols>
  <sheetData>
    <row r="1" ht="17.25" customHeight="1" s="22">
      <c r="A1" s="23" t="inlineStr">
        <is>
          <t>Season Totals</t>
        </is>
      </c>
    </row>
    <row r="2" ht="15" customHeight="1" s="22">
      <c r="A2" s="29" t="inlineStr">
        <is>
          <t>Calculated automatically from the Player Stats and Games tabs — nothing to type here.</t>
        </is>
      </c>
    </row>
    <row r="4" ht="15" customHeight="1" s="22">
      <c r="A4" s="24" t="inlineStr">
        <is>
          <t>#</t>
        </is>
      </c>
      <c r="B4" s="24" t="inlineStr">
        <is>
          <t>Player</t>
        </is>
      </c>
      <c r="C4" s="24" t="inlineStr">
        <is>
          <t>Games Played</t>
        </is>
      </c>
      <c r="D4" s="24" t="inlineStr">
        <is>
          <t>Attendance %</t>
        </is>
      </c>
      <c r="E4" s="24" t="inlineStr">
        <is>
          <t>Goals</t>
        </is>
      </c>
      <c r="F4" s="24" t="inlineStr">
        <is>
          <t>Assists</t>
        </is>
      </c>
      <c r="G4" s="24" t="inlineStr">
        <is>
          <t>Yellow Cards</t>
        </is>
      </c>
      <c r="H4" s="24" t="inlineStr">
        <is>
          <t>Red Cards</t>
        </is>
      </c>
      <c r="I4" s="24" t="inlineStr">
        <is>
          <t>Saves</t>
        </is>
      </c>
      <c r="J4" s="24" t="inlineStr">
        <is>
          <t>Goals Allowed</t>
        </is>
      </c>
    </row>
    <row r="5" ht="15" customHeight="1" s="22">
      <c r="A5" s="31">
        <f>Roster!A4</f>
        <v/>
      </c>
      <c r="B5" s="35">
        <f>Roster!B4</f>
        <v/>
      </c>
      <c r="C5" s="31">
        <f>COUNTIFS('Player Stats'!$D$5:$D$400,B5,'Player Stats'!$E$5:$E$400,"Y")</f>
        <v/>
      </c>
      <c r="D5" s="36">
        <f>IFERROR(C5/COUNT(Games!$A$5:$A$25),0)</f>
        <v/>
      </c>
      <c r="E5" s="31">
        <f>SUMIFS('Player Stats'!$F$5:$F$400,'Player Stats'!$D$5:$D$400,B5)</f>
        <v/>
      </c>
      <c r="F5" s="31">
        <f>SUMIFS('Player Stats'!$G$5:$G$400,'Player Stats'!$D$5:$D$400,B5)</f>
        <v/>
      </c>
      <c r="G5" s="31">
        <f>SUMIFS('Player Stats'!$H$5:$H$400,'Player Stats'!$D$5:$D$400,B5)</f>
        <v/>
      </c>
      <c r="H5" s="31">
        <f>SUMIFS('Player Stats'!$I$5:$I$400,'Player Stats'!$D$5:$D$400,B5)</f>
        <v/>
      </c>
      <c r="I5" s="31">
        <f>SUMIFS('Player Stats'!$J$5:$J$400,'Player Stats'!$D$5:$D$400,B5)</f>
        <v/>
      </c>
      <c r="J5" s="31">
        <f>SUMIFS('Player Stats'!$K$5:$K$400,'Player Stats'!$D$5:$D$400,B5)</f>
        <v/>
      </c>
    </row>
    <row r="6" ht="15" customHeight="1" s="22">
      <c r="A6" s="31">
        <f>Roster!A5</f>
        <v/>
      </c>
      <c r="B6" s="35">
        <f>Roster!B5</f>
        <v/>
      </c>
      <c r="C6" s="31">
        <f>COUNTIFS('Player Stats'!$D$5:$D$400,B6,'Player Stats'!$E$5:$E$400,"Y")</f>
        <v/>
      </c>
      <c r="D6" s="36">
        <f>IFERROR(C6/COUNT(Games!$A$5:$A$25),0)</f>
        <v/>
      </c>
      <c r="E6" s="31">
        <f>SUMIFS('Player Stats'!$F$5:$F$400,'Player Stats'!$D$5:$D$400,B6)</f>
        <v/>
      </c>
      <c r="F6" s="31">
        <f>SUMIFS('Player Stats'!$G$5:$G$400,'Player Stats'!$D$5:$D$400,B6)</f>
        <v/>
      </c>
      <c r="G6" s="31">
        <f>SUMIFS('Player Stats'!$H$5:$H$400,'Player Stats'!$D$5:$D$400,B6)</f>
        <v/>
      </c>
      <c r="H6" s="31">
        <f>SUMIFS('Player Stats'!$I$5:$I$400,'Player Stats'!$D$5:$D$400,B6)</f>
        <v/>
      </c>
      <c r="I6" s="31">
        <f>SUMIFS('Player Stats'!$J$5:$J$400,'Player Stats'!$D$5:$D$400,B6)</f>
        <v/>
      </c>
      <c r="J6" s="31">
        <f>SUMIFS('Player Stats'!$K$5:$K$400,'Player Stats'!$D$5:$D$400,B6)</f>
        <v/>
      </c>
    </row>
    <row r="7" ht="15" customHeight="1" s="22">
      <c r="A7" s="31">
        <f>Roster!A6</f>
        <v/>
      </c>
      <c r="B7" s="35">
        <f>Roster!B6</f>
        <v/>
      </c>
      <c r="C7" s="31">
        <f>COUNTIFS('Player Stats'!$D$5:$D$400,B7,'Player Stats'!$E$5:$E$400,"Y")</f>
        <v/>
      </c>
      <c r="D7" s="36">
        <f>IFERROR(C7/COUNT(Games!$A$5:$A$25),0)</f>
        <v/>
      </c>
      <c r="E7" s="31">
        <f>SUMIFS('Player Stats'!$F$5:$F$400,'Player Stats'!$D$5:$D$400,B7)</f>
        <v/>
      </c>
      <c r="F7" s="31">
        <f>SUMIFS('Player Stats'!$G$5:$G$400,'Player Stats'!$D$5:$D$400,B7)</f>
        <v/>
      </c>
      <c r="G7" s="31">
        <f>SUMIFS('Player Stats'!$H$5:$H$400,'Player Stats'!$D$5:$D$400,B7)</f>
        <v/>
      </c>
      <c r="H7" s="31">
        <f>SUMIFS('Player Stats'!$I$5:$I$400,'Player Stats'!$D$5:$D$400,B7)</f>
        <v/>
      </c>
      <c r="I7" s="31">
        <f>SUMIFS('Player Stats'!$J$5:$J$400,'Player Stats'!$D$5:$D$400,B7)</f>
        <v/>
      </c>
      <c r="J7" s="31">
        <f>SUMIFS('Player Stats'!$K$5:$K$400,'Player Stats'!$D$5:$D$400,B7)</f>
        <v/>
      </c>
    </row>
    <row r="8" ht="15" customHeight="1" s="22">
      <c r="A8" s="31">
        <f>Roster!A7</f>
        <v/>
      </c>
      <c r="B8" s="35">
        <f>Roster!B7</f>
        <v/>
      </c>
      <c r="C8" s="31">
        <f>COUNTIFS('Player Stats'!$D$5:$D$400,B8,'Player Stats'!$E$5:$E$400,"Y")</f>
        <v/>
      </c>
      <c r="D8" s="36">
        <f>IFERROR(C8/COUNT(Games!$A$5:$A$25),0)</f>
        <v/>
      </c>
      <c r="E8" s="31">
        <f>SUMIFS('Player Stats'!$F$5:$F$400,'Player Stats'!$D$5:$D$400,B8)</f>
        <v/>
      </c>
      <c r="F8" s="31">
        <f>SUMIFS('Player Stats'!$G$5:$G$400,'Player Stats'!$D$5:$D$400,B8)</f>
        <v/>
      </c>
      <c r="G8" s="31">
        <f>SUMIFS('Player Stats'!$H$5:$H$400,'Player Stats'!$D$5:$D$400,B8)</f>
        <v/>
      </c>
      <c r="H8" s="31">
        <f>SUMIFS('Player Stats'!$I$5:$I$400,'Player Stats'!$D$5:$D$400,B8)</f>
        <v/>
      </c>
      <c r="I8" s="31">
        <f>SUMIFS('Player Stats'!$J$5:$J$400,'Player Stats'!$D$5:$D$400,B8)</f>
        <v/>
      </c>
      <c r="J8" s="31">
        <f>SUMIFS('Player Stats'!$K$5:$K$400,'Player Stats'!$D$5:$D$400,B8)</f>
        <v/>
      </c>
    </row>
    <row r="9" ht="15" customHeight="1" s="22">
      <c r="A9" s="31">
        <f>Roster!A8</f>
        <v/>
      </c>
      <c r="B9" s="35">
        <f>Roster!B8</f>
        <v/>
      </c>
      <c r="C9" s="31">
        <f>COUNTIFS('Player Stats'!$D$5:$D$400,B9,'Player Stats'!$E$5:$E$400,"Y")</f>
        <v/>
      </c>
      <c r="D9" s="36">
        <f>IFERROR(C9/COUNT(Games!$A$5:$A$25),0)</f>
        <v/>
      </c>
      <c r="E9" s="31">
        <f>SUMIFS('Player Stats'!$F$5:$F$400,'Player Stats'!$D$5:$D$400,B9)</f>
        <v/>
      </c>
      <c r="F9" s="31">
        <f>SUMIFS('Player Stats'!$G$5:$G$400,'Player Stats'!$D$5:$D$400,B9)</f>
        <v/>
      </c>
      <c r="G9" s="31">
        <f>SUMIFS('Player Stats'!$H$5:$H$400,'Player Stats'!$D$5:$D$400,B9)</f>
        <v/>
      </c>
      <c r="H9" s="31">
        <f>SUMIFS('Player Stats'!$I$5:$I$400,'Player Stats'!$D$5:$D$400,B9)</f>
        <v/>
      </c>
      <c r="I9" s="31">
        <f>SUMIFS('Player Stats'!$J$5:$J$400,'Player Stats'!$D$5:$D$400,B9)</f>
        <v/>
      </c>
      <c r="J9" s="31">
        <f>SUMIFS('Player Stats'!$K$5:$K$400,'Player Stats'!$D$5:$D$400,B9)</f>
        <v/>
      </c>
    </row>
    <row r="10" ht="15" customHeight="1" s="22">
      <c r="A10" s="31">
        <f>Roster!A9</f>
        <v/>
      </c>
      <c r="B10" s="35">
        <f>Roster!B9</f>
        <v/>
      </c>
      <c r="C10" s="31">
        <f>COUNTIFS('Player Stats'!$D$5:$D$400,B10,'Player Stats'!$E$5:$E$400,"Y")</f>
        <v/>
      </c>
      <c r="D10" s="36">
        <f>IFERROR(C10/COUNT(Games!$A$5:$A$25),0)</f>
        <v/>
      </c>
      <c r="E10" s="31">
        <f>SUMIFS('Player Stats'!$F$5:$F$400,'Player Stats'!$D$5:$D$400,B10)</f>
        <v/>
      </c>
      <c r="F10" s="31">
        <f>SUMIFS('Player Stats'!$G$5:$G$400,'Player Stats'!$D$5:$D$400,B10)</f>
        <v/>
      </c>
      <c r="G10" s="31">
        <f>SUMIFS('Player Stats'!$H$5:$H$400,'Player Stats'!$D$5:$D$400,B10)</f>
        <v/>
      </c>
      <c r="H10" s="31">
        <f>SUMIFS('Player Stats'!$I$5:$I$400,'Player Stats'!$D$5:$D$400,B10)</f>
        <v/>
      </c>
      <c r="I10" s="31">
        <f>SUMIFS('Player Stats'!$J$5:$J$400,'Player Stats'!$D$5:$D$400,B10)</f>
        <v/>
      </c>
      <c r="J10" s="31">
        <f>SUMIFS('Player Stats'!$K$5:$K$400,'Player Stats'!$D$5:$D$400,B10)</f>
        <v/>
      </c>
    </row>
    <row r="11" ht="15" customHeight="1" s="22">
      <c r="A11" s="31">
        <f>Roster!A10</f>
        <v/>
      </c>
      <c r="B11" s="35">
        <f>Roster!B10</f>
        <v/>
      </c>
      <c r="C11" s="31">
        <f>COUNTIFS('Player Stats'!$D$5:$D$400,B11,'Player Stats'!$E$5:$E$400,"Y")</f>
        <v/>
      </c>
      <c r="D11" s="36">
        <f>IFERROR(C11/COUNT(Games!$A$5:$A$25),0)</f>
        <v/>
      </c>
      <c r="E11" s="31">
        <f>SUMIFS('Player Stats'!$F$5:$F$400,'Player Stats'!$D$5:$D$400,B11)</f>
        <v/>
      </c>
      <c r="F11" s="31">
        <f>SUMIFS('Player Stats'!$G$5:$G$400,'Player Stats'!$D$5:$D$400,B11)</f>
        <v/>
      </c>
      <c r="G11" s="31">
        <f>SUMIFS('Player Stats'!$H$5:$H$400,'Player Stats'!$D$5:$D$400,B11)</f>
        <v/>
      </c>
      <c r="H11" s="31">
        <f>SUMIFS('Player Stats'!$I$5:$I$400,'Player Stats'!$D$5:$D$400,B11)</f>
        <v/>
      </c>
      <c r="I11" s="31">
        <f>SUMIFS('Player Stats'!$J$5:$J$400,'Player Stats'!$D$5:$D$400,B11)</f>
        <v/>
      </c>
      <c r="J11" s="31">
        <f>SUMIFS('Player Stats'!$K$5:$K$400,'Player Stats'!$D$5:$D$400,B11)</f>
        <v/>
      </c>
    </row>
    <row r="12" ht="15" customHeight="1" s="22">
      <c r="A12" s="37">
        <f>Roster!A11</f>
        <v/>
      </c>
      <c r="B12" s="38">
        <f>Roster!B11</f>
        <v/>
      </c>
      <c r="C12" s="37">
        <f>COUNTIFS('Player Stats'!$D$5:$D$400,B12,'Player Stats'!$E$5:$E$400,"Y")</f>
        <v/>
      </c>
      <c r="D12" s="39">
        <f>IFERROR(C12/COUNT(Games!$A$5:$A$25),0)</f>
        <v/>
      </c>
      <c r="E12" s="37">
        <f>SUMIFS('Player Stats'!$F$5:$F$400,'Player Stats'!$D$5:$D$400,B12)</f>
        <v/>
      </c>
      <c r="F12" s="37">
        <f>SUMIFS('Player Stats'!$G$5:$G$400,'Player Stats'!$D$5:$D$400,B12)</f>
        <v/>
      </c>
      <c r="G12" s="37">
        <f>SUMIFS('Player Stats'!$H$5:$H$400,'Player Stats'!$D$5:$D$400,B12)</f>
        <v/>
      </c>
      <c r="H12" s="37">
        <f>SUMIFS('Player Stats'!$I$5:$I$400,'Player Stats'!$D$5:$D$400,B12)</f>
        <v/>
      </c>
      <c r="I12" s="37">
        <f>SUMIFS('Player Stats'!$J$5:$J$400,'Player Stats'!$D$5:$D$400,B12)</f>
        <v/>
      </c>
      <c r="J12" s="37">
        <f>SUMIFS('Player Stats'!$K$5:$K$400,'Player Stats'!$D$5:$D$400,B12)</f>
        <v/>
      </c>
    </row>
    <row r="13" ht="15" customHeight="1" s="22">
      <c r="A13" s="31">
        <f>Roster!A12</f>
        <v/>
      </c>
      <c r="B13" s="35">
        <f>Roster!B12</f>
        <v/>
      </c>
      <c r="C13" s="31">
        <f>COUNTIFS('Player Stats'!$D$5:$D$400,B13,'Player Stats'!$E$5:$E$400,"Y")</f>
        <v/>
      </c>
      <c r="D13" s="36">
        <f>IFERROR(C13/COUNT(Games!$A$5:$A$25),0)</f>
        <v/>
      </c>
      <c r="E13" s="31">
        <f>SUMIFS('Player Stats'!$F$5:$F$400,'Player Stats'!$D$5:$D$400,B13)</f>
        <v/>
      </c>
      <c r="F13" s="31">
        <f>SUMIFS('Player Stats'!$G$5:$G$400,'Player Stats'!$D$5:$D$400,B13)</f>
        <v/>
      </c>
      <c r="G13" s="31">
        <f>SUMIFS('Player Stats'!$H$5:$H$400,'Player Stats'!$D$5:$D$400,B13)</f>
        <v/>
      </c>
      <c r="H13" s="31">
        <f>SUMIFS('Player Stats'!$I$5:$I$400,'Player Stats'!$D$5:$D$400,B13)</f>
        <v/>
      </c>
      <c r="I13" s="31">
        <f>SUMIFS('Player Stats'!$J$5:$J$400,'Player Stats'!$D$5:$D$400,B13)</f>
        <v/>
      </c>
      <c r="J13" s="31">
        <f>SUMIFS('Player Stats'!$K$5:$K$400,'Player Stats'!$D$5:$D$400,B13)</f>
        <v/>
      </c>
    </row>
    <row r="14" ht="15" customHeight="1" s="22">
      <c r="A14" s="31">
        <f>Roster!A13</f>
        <v/>
      </c>
      <c r="B14" s="35">
        <f>Roster!B13</f>
        <v/>
      </c>
      <c r="C14" s="31">
        <f>COUNTIFS('Player Stats'!$D$5:$D$400,B14,'Player Stats'!$E$5:$E$400,"Y")</f>
        <v/>
      </c>
      <c r="D14" s="36">
        <f>IFERROR(C14/COUNT(Games!$A$5:$A$25),0)</f>
        <v/>
      </c>
      <c r="E14" s="31">
        <f>SUMIFS('Player Stats'!$F$5:$F$400,'Player Stats'!$D$5:$D$400,B14)</f>
        <v/>
      </c>
      <c r="F14" s="31">
        <f>SUMIFS('Player Stats'!$G$5:$G$400,'Player Stats'!$D$5:$D$400,B14)</f>
        <v/>
      </c>
      <c r="G14" s="31">
        <f>SUMIFS('Player Stats'!$H$5:$H$400,'Player Stats'!$D$5:$D$400,B14)</f>
        <v/>
      </c>
      <c r="H14" s="31">
        <f>SUMIFS('Player Stats'!$I$5:$I$400,'Player Stats'!$D$5:$D$400,B14)</f>
        <v/>
      </c>
      <c r="I14" s="31">
        <f>SUMIFS('Player Stats'!$J$5:$J$400,'Player Stats'!$D$5:$D$400,B14)</f>
        <v/>
      </c>
      <c r="J14" s="31">
        <f>SUMIFS('Player Stats'!$K$5:$K$400,'Player Stats'!$D$5:$D$400,B14)</f>
        <v/>
      </c>
    </row>
    <row r="15" ht="15" customHeight="1" s="22">
      <c r="A15" s="31">
        <f>Roster!A14</f>
        <v/>
      </c>
      <c r="B15" s="35">
        <f>Roster!B14</f>
        <v/>
      </c>
      <c r="C15" s="31">
        <f>COUNTIFS('Player Stats'!$D$5:$D$400,B15,'Player Stats'!$E$5:$E$400,"Y")</f>
        <v/>
      </c>
      <c r="D15" s="36">
        <f>IFERROR(C15/COUNT(Games!$A$5:$A$25),0)</f>
        <v/>
      </c>
      <c r="E15" s="31">
        <f>SUMIFS('Player Stats'!$F$5:$F$400,'Player Stats'!$D$5:$D$400,B15)</f>
        <v/>
      </c>
      <c r="F15" s="31">
        <f>SUMIFS('Player Stats'!$G$5:$G$400,'Player Stats'!$D$5:$D$400,B15)</f>
        <v/>
      </c>
      <c r="G15" s="31">
        <f>SUMIFS('Player Stats'!$H$5:$H$400,'Player Stats'!$D$5:$D$400,B15)</f>
        <v/>
      </c>
      <c r="H15" s="31">
        <f>SUMIFS('Player Stats'!$I$5:$I$400,'Player Stats'!$D$5:$D$400,B15)</f>
        <v/>
      </c>
      <c r="I15" s="31">
        <f>SUMIFS('Player Stats'!$J$5:$J$400,'Player Stats'!$D$5:$D$400,B15)</f>
        <v/>
      </c>
      <c r="J15" s="31">
        <f>SUMIFS('Player Stats'!$K$5:$K$400,'Player Stats'!$D$5:$D$400,B15)</f>
        <v/>
      </c>
    </row>
    <row r="16" ht="15" customHeight="1" s="22">
      <c r="A16" s="31">
        <f>Roster!A15</f>
        <v/>
      </c>
      <c r="B16" s="35">
        <f>Roster!B15</f>
        <v/>
      </c>
      <c r="C16" s="31">
        <f>COUNTIFS('Player Stats'!$D$5:$D$400,B16,'Player Stats'!$E$5:$E$400,"Y")</f>
        <v/>
      </c>
      <c r="D16" s="36">
        <f>IFERROR(C16/COUNT(Games!$A$5:$A$25),0)</f>
        <v/>
      </c>
      <c r="E16" s="31">
        <f>SUMIFS('Player Stats'!$F$5:$F$400,'Player Stats'!$D$5:$D$400,B16)</f>
        <v/>
      </c>
      <c r="F16" s="31">
        <f>SUMIFS('Player Stats'!$G$5:$G$400,'Player Stats'!$D$5:$D$400,B16)</f>
        <v/>
      </c>
      <c r="G16" s="31">
        <f>SUMIFS('Player Stats'!$H$5:$H$400,'Player Stats'!$D$5:$D$400,B16)</f>
        <v/>
      </c>
      <c r="H16" s="31">
        <f>SUMIFS('Player Stats'!$I$5:$I$400,'Player Stats'!$D$5:$D$400,B16)</f>
        <v/>
      </c>
      <c r="I16" s="31">
        <f>SUMIFS('Player Stats'!$J$5:$J$400,'Player Stats'!$D$5:$D$400,B16)</f>
        <v/>
      </c>
      <c r="J16" s="31">
        <f>SUMIFS('Player Stats'!$K$5:$K$400,'Player Stats'!$D$5:$D$400,B16)</f>
        <v/>
      </c>
    </row>
    <row r="17" ht="15" customHeight="1" s="22">
      <c r="A17" s="31">
        <f>Roster!A16</f>
        <v/>
      </c>
      <c r="B17" s="35">
        <f>Roster!B16</f>
        <v/>
      </c>
      <c r="C17" s="31">
        <f>COUNTIFS('Player Stats'!$D$5:$D$400,B17,'Player Stats'!$E$5:$E$400,"Y")</f>
        <v/>
      </c>
      <c r="D17" s="36">
        <f>IFERROR(C17/COUNT(Games!$A$5:$A$25),0)</f>
        <v/>
      </c>
      <c r="E17" s="31">
        <f>SUMIFS('Player Stats'!$F$5:$F$400,'Player Stats'!$D$5:$D$400,B17)</f>
        <v/>
      </c>
      <c r="F17" s="31">
        <f>SUMIFS('Player Stats'!$G$5:$G$400,'Player Stats'!$D$5:$D$400,B17)</f>
        <v/>
      </c>
      <c r="G17" s="31">
        <f>SUMIFS('Player Stats'!$H$5:$H$400,'Player Stats'!$D$5:$D$400,B17)</f>
        <v/>
      </c>
      <c r="H17" s="31">
        <f>SUMIFS('Player Stats'!$I$5:$I$400,'Player Stats'!$D$5:$D$400,B17)</f>
        <v/>
      </c>
      <c r="I17" s="31">
        <f>SUMIFS('Player Stats'!$J$5:$J$400,'Player Stats'!$D$5:$D$400,B17)</f>
        <v/>
      </c>
      <c r="J17" s="31">
        <f>SUMIFS('Player Stats'!$K$5:$K$400,'Player Stats'!$D$5:$D$400,B17)</f>
        <v/>
      </c>
    </row>
    <row r="18" ht="15" customHeight="1" s="22">
      <c r="A18" s="31">
        <f>Roster!A17</f>
        <v/>
      </c>
      <c r="B18" s="35">
        <f>Roster!B17</f>
        <v/>
      </c>
      <c r="C18" s="31">
        <f>COUNTIFS('Player Stats'!$D$5:$D$400,B18,'Player Stats'!$E$5:$E$400,"Y")</f>
        <v/>
      </c>
      <c r="D18" s="36">
        <f>IFERROR(C18/COUNT(Games!$A$5:$A$25),0)</f>
        <v/>
      </c>
      <c r="E18" s="31">
        <f>SUMIFS('Player Stats'!$F$5:$F$400,'Player Stats'!$D$5:$D$400,B18)</f>
        <v/>
      </c>
      <c r="F18" s="31">
        <f>SUMIFS('Player Stats'!$G$5:$G$400,'Player Stats'!$D$5:$D$400,B18)</f>
        <v/>
      </c>
      <c r="G18" s="31">
        <f>SUMIFS('Player Stats'!$H$5:$H$400,'Player Stats'!$D$5:$D$400,B18)</f>
        <v/>
      </c>
      <c r="H18" s="31">
        <f>SUMIFS('Player Stats'!$I$5:$I$400,'Player Stats'!$D$5:$D$400,B18)</f>
        <v/>
      </c>
      <c r="I18" s="31">
        <f>SUMIFS('Player Stats'!$J$5:$J$400,'Player Stats'!$D$5:$D$400,B18)</f>
        <v/>
      </c>
      <c r="J18" s="31">
        <f>SUMIFS('Player Stats'!$K$5:$K$400,'Player Stats'!$D$5:$D$400,B18)</f>
        <v/>
      </c>
    </row>
    <row r="19" ht="15" customHeight="1" s="22">
      <c r="A19" s="31">
        <f>Roster!A18</f>
        <v/>
      </c>
      <c r="B19" s="35">
        <f>Roster!B18</f>
        <v/>
      </c>
      <c r="C19" s="31">
        <f>COUNTIFS('Player Stats'!$D$5:$D$400,B19,'Player Stats'!$E$5:$E$400,"Y")</f>
        <v/>
      </c>
      <c r="D19" s="36">
        <f>IFERROR(C19/COUNT(Games!$A$5:$A$25),0)</f>
        <v/>
      </c>
      <c r="E19" s="31">
        <f>SUMIFS('Player Stats'!$F$5:$F$400,'Player Stats'!$D$5:$D$400,B19)</f>
        <v/>
      </c>
      <c r="F19" s="31">
        <f>SUMIFS('Player Stats'!$G$5:$G$400,'Player Stats'!$D$5:$D$400,B19)</f>
        <v/>
      </c>
      <c r="G19" s="31">
        <f>SUMIFS('Player Stats'!$H$5:$H$400,'Player Stats'!$D$5:$D$400,B19)</f>
        <v/>
      </c>
      <c r="H19" s="31">
        <f>SUMIFS('Player Stats'!$I$5:$I$400,'Player Stats'!$D$5:$D$400,B19)</f>
        <v/>
      </c>
      <c r="I19" s="31">
        <f>SUMIFS('Player Stats'!$J$5:$J$400,'Player Stats'!$D$5:$D$400,B19)</f>
        <v/>
      </c>
      <c r="J19" s="31">
        <f>SUMIFS('Player Stats'!$K$5:$K$400,'Player Stats'!$D$5:$D$400,B19)</f>
        <v/>
      </c>
    </row>
    <row r="20" ht="15" customHeight="1" s="22">
      <c r="A20" s="31">
        <f>Roster!A19</f>
        <v/>
      </c>
      <c r="B20" s="35">
        <f>Roster!B19</f>
        <v/>
      </c>
      <c r="C20" s="31">
        <f>COUNTIFS('Player Stats'!$D$5:$D$400,B20,'Player Stats'!$E$5:$E$400,"Y")</f>
        <v/>
      </c>
      <c r="D20" s="36">
        <f>IFERROR(C20/COUNT(Games!$A$5:$A$25),0)</f>
        <v/>
      </c>
      <c r="E20" s="31">
        <f>SUMIFS('Player Stats'!$F$5:$F$400,'Player Stats'!$D$5:$D$400,B20)</f>
        <v/>
      </c>
      <c r="F20" s="31">
        <f>SUMIFS('Player Stats'!$G$5:$G$400,'Player Stats'!$D$5:$D$400,B20)</f>
        <v/>
      </c>
      <c r="G20" s="31">
        <f>SUMIFS('Player Stats'!$H$5:$H$400,'Player Stats'!$D$5:$D$400,B20)</f>
        <v/>
      </c>
      <c r="H20" s="31">
        <f>SUMIFS('Player Stats'!$I$5:$I$400,'Player Stats'!$D$5:$D$400,B20)</f>
        <v/>
      </c>
      <c r="I20" s="31">
        <f>SUMIFS('Player Stats'!$J$5:$J$400,'Player Stats'!$D$5:$D$400,B20)</f>
        <v/>
      </c>
      <c r="J20" s="31">
        <f>SUMIFS('Player Stats'!$K$5:$K$400,'Player Stats'!$D$5:$D$400,B20)</f>
        <v/>
      </c>
    </row>
    <row r="21" ht="15" customHeight="1" s="22">
      <c r="A21" s="31">
        <f>Roster!A20</f>
        <v/>
      </c>
      <c r="B21" s="35">
        <f>Roster!B20</f>
        <v/>
      </c>
      <c r="C21" s="31">
        <f>COUNTIFS('Player Stats'!$D$5:$D$400,B21,'Player Stats'!$E$5:$E$400,"Y")</f>
        <v/>
      </c>
      <c r="D21" s="36">
        <f>IFERROR(C21/COUNT(Games!$A$5:$A$25),0)</f>
        <v/>
      </c>
      <c r="E21" s="31">
        <f>SUMIFS('Player Stats'!$F$5:$F$400,'Player Stats'!$D$5:$D$400,B21)</f>
        <v/>
      </c>
      <c r="F21" s="31">
        <f>SUMIFS('Player Stats'!$G$5:$G$400,'Player Stats'!$D$5:$D$400,B21)</f>
        <v/>
      </c>
      <c r="G21" s="31">
        <f>SUMIFS('Player Stats'!$H$5:$H$400,'Player Stats'!$D$5:$D$400,B21)</f>
        <v/>
      </c>
      <c r="H21" s="31">
        <f>SUMIFS('Player Stats'!$I$5:$I$400,'Player Stats'!$D$5:$D$400,B21)</f>
        <v/>
      </c>
      <c r="I21" s="31">
        <f>SUMIFS('Player Stats'!$J$5:$J$400,'Player Stats'!$D$5:$D$400,B21)</f>
        <v/>
      </c>
      <c r="J21" s="31">
        <f>SUMIFS('Player Stats'!$K$5:$K$400,'Player Stats'!$D$5:$D$400,B21)</f>
        <v/>
      </c>
    </row>
    <row r="22" ht="15" customHeight="1" s="22">
      <c r="A22" s="40" t="n"/>
      <c r="B22" s="41" t="inlineStr">
        <is>
          <t>Team Total</t>
        </is>
      </c>
      <c r="C22" s="41">
        <f>SUM(C5:C21)</f>
        <v/>
      </c>
      <c r="D22" s="40" t="n"/>
      <c r="E22" s="41">
        <f>SUM(E5:E21)</f>
        <v/>
      </c>
      <c r="F22" s="41">
        <f>SUM(F5:F21)</f>
        <v/>
      </c>
      <c r="G22" s="41">
        <f>SUM(G5:G21)</f>
        <v/>
      </c>
      <c r="H22" s="41">
        <f>SUM(H5:H21)</f>
        <v/>
      </c>
      <c r="I22" s="41">
        <f>SUM(I5:I21)</f>
        <v/>
      </c>
      <c r="J22" s="41">
        <f>SUM(J5:J21)</f>
        <v/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2026-09-18T18:24:18Z</dcterms:created>
  <dcterms:modified xmlns:dcterms="http://purl.org/dc/terms/" xmlns:xsi="http://www.w3.org/2001/XMLSchema-instance" xsi:type="dcterms:W3CDTF">2026-09-27T17:55:28Z</dcterms:modified>
  <cp:revision>0</cp:revision>
</cp:coreProperties>
</file>